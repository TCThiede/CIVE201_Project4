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https://uofnebraska-my.sharepoint.com/personal/58708029_nebraska_edu/Documents/"/>
    </mc:Choice>
  </mc:AlternateContent>
  <xr:revisionPtr revIDLastSave="0" documentId="8_{C79272CA-C1D7-8D4A-8D86-7B974C4C7B08}" xr6:coauthVersionLast="47" xr6:coauthVersionMax="47" xr10:uidLastSave="{00000000-0000-0000-0000-000000000000}"/>
  <bookViews>
    <workbookView xWindow="13760" yWindow="780" windowWidth="22060" windowHeight="215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I5" i="11" l="1"/>
  <c r="H26" i="11"/>
  <c r="H20" i="11"/>
  <c r="H14" i="11"/>
  <c r="H8" i="11"/>
  <c r="H21" i="11" l="1"/>
  <c r="H22" i="11"/>
  <c r="H9" i="11"/>
  <c r="E11" i="11"/>
  <c r="I6" i="11"/>
  <c r="H31" i="11" l="1"/>
  <c r="H30" i="11"/>
  <c r="H27" i="11"/>
  <c r="H25" i="11"/>
  <c r="H10" i="11"/>
  <c r="H23" i="11"/>
  <c r="H15" i="11"/>
  <c r="H13" i="11"/>
  <c r="F11" i="11"/>
  <c r="J5" i="11"/>
  <c r="K5" i="11" s="1"/>
  <c r="L5" i="11" s="1"/>
  <c r="M5" i="11" s="1"/>
  <c r="N5" i="11" s="1"/>
  <c r="O5" i="11" s="1"/>
  <c r="P5" i="11" s="1"/>
  <c r="I4" i="11"/>
  <c r="H28" i="11" l="1"/>
  <c r="H29" i="11"/>
  <c r="H24" i="11"/>
  <c r="H16" i="11"/>
  <c r="E17" i="11"/>
  <c r="E19" i="11" s="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<sst xmlns="http://schemas.openxmlformats.org/spreadsheetml/2006/main" count="50" uniqueCount="49">
  <si>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</si>
  <si>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</si>
  <si>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</si>
  <si>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</si>
  <si>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</si>
  <si>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</si>
  <si>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</si>
  <si>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</si>
  <si>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</si>
  <si>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</si>
  <si>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</si>
  <si>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</si>
  <si>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</si>
  <si>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</si>
  <si>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</si>
  <si>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</si>
  <si>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</si>
  <si>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</si>
  <si>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</si>
  <si>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</si>
  <si>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</si>
  <si>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</si>
  <si>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</si>
  <si>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Code</t>
  </si>
  <si>
    <t>SOW</t>
  </si>
  <si>
    <t>Report</t>
  </si>
  <si>
    <t>Miscellaneous</t>
  </si>
  <si>
    <t>Timesheet</t>
  </si>
  <si>
    <t>ACD</t>
  </si>
  <si>
    <t>Filter and and merge data</t>
  </si>
  <si>
    <t>Plot maps of NRI and our risk eq.</t>
  </si>
  <si>
    <t>Plot bar charts to compare risk levels</t>
  </si>
  <si>
    <t>Project goals</t>
  </si>
  <si>
    <t>Project tasks</t>
  </si>
  <si>
    <t>Project deliverables</t>
  </si>
  <si>
    <t>Introduction/background</t>
  </si>
  <si>
    <t>Methods</t>
  </si>
  <si>
    <t>References</t>
  </si>
  <si>
    <t>Develop risk equation</t>
  </si>
  <si>
    <t>Gantt chart</t>
  </si>
  <si>
    <t>CIVE 202 Project 4</t>
  </si>
  <si>
    <t>Ayub Abdi, Ryder Anderson, Tyler Thiede</t>
  </si>
  <si>
    <t>Use 2 external sources</t>
  </si>
  <si>
    <t>Compare risk eq's</t>
  </si>
  <si>
    <t>Compare risk eq's reults</t>
  </si>
  <si>
    <t>Explanation of current NRI risk eq.</t>
  </si>
  <si>
    <t>Implement defined risk eq.</t>
  </si>
  <si>
    <t>Dependent on another part</t>
  </si>
  <si>
    <t>The part it is dependent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</si>
</sst>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5">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18"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29</xdr:col>
      <xdr:colOff>50800</xdr:colOff>
      <xdr:row>0</xdr:row>
      <xdr:rowOff>419100</xdr:rowOff>
    </xdr:from>
    <xdr:to>
      <xdr:col>33</xdr:col>
      <xdr:colOff>151052</xdr:colOff>
      <xdr:row>1</xdr:row>
      <xdr:rowOff>194411</xdr:rowOff>
    </xdr:to>
    <xdr:pic>
      <xdr:nvPicPr>
        <xdr:cNvPr id="2" name="Graphic 1" descr="Badge 1 with solid fill">
          <a:extLst>
            <a:ext uri="{FF2B5EF4-FFF2-40B4-BE49-F238E27FC236}">
              <a16:creationId xmlns:a16="http://schemas.microsoft.com/office/drawing/2014/main" id="{F6225D3A-45EC-FB42-84BD-DBF8236D5E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60000" y="419100"/>
          <a:ext cx="913052" cy="918311"/>
        </a:xfrm>
        <a:prstGeom prst="rect">
          <a:avLst/>
        </a:prstGeom>
      </xdr:spPr>
    </xdr:pic>
    <xdr:clientData/>
  </xdr:twoCellAnchor>
  <xdr:twoCellAnchor editAs="oneCell">
    <xdr:from>
      <xdr:col>47</xdr:col>
      <xdr:colOff>63500</xdr:colOff>
      <xdr:row>0</xdr:row>
      <xdr:rowOff>419100</xdr:rowOff>
    </xdr:from>
    <xdr:to>
      <xdr:col>51</xdr:col>
      <xdr:colOff>163750</xdr:colOff>
      <xdr:row>1</xdr:row>
      <xdr:rowOff>194411</xdr:rowOff>
    </xdr:to>
    <xdr:pic>
      <xdr:nvPicPr>
        <xdr:cNvPr id="3" name="Graphic 2" descr="Badge 1 outline">
          <a:extLst>
            <a:ext uri="{FF2B5EF4-FFF2-40B4-BE49-F238E27FC236}">
              <a16:creationId xmlns:a16="http://schemas.microsoft.com/office/drawing/2014/main" id="{2F5A5603-816B-CA42-AAAC-6F54E3E5E4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0300" y="419100"/>
          <a:ext cx="913050" cy="918311"/>
        </a:xfrm>
        <a:prstGeom prst="rect">
          <a:avLst/>
        </a:prstGeom>
      </xdr:spPr>
    </xdr:pic>
    <xdr:clientData/>
  </xdr:twoCellAnchor>
  <xdr:twoCellAnchor editAs="oneCell">
    <xdr:from>
      <xdr:col>1</xdr:col>
      <xdr:colOff>723900</xdr:colOff>
      <xdr:row>22</xdr:row>
      <xdr:rowOff>38100</xdr:rowOff>
    </xdr:from>
    <xdr:to>
      <xdr:col>1</xdr:col>
      <xdr:colOff>1007318</xdr:colOff>
      <xdr:row>22</xdr:row>
      <xdr:rowOff>317500</xdr:rowOff>
    </xdr:to>
    <xdr:pic>
      <xdr:nvPicPr>
        <xdr:cNvPr id="4" name="Graphic 3" descr="Badge 1 with solid fill">
          <a:extLst>
            <a:ext uri="{FF2B5EF4-FFF2-40B4-BE49-F238E27FC236}">
              <a16:creationId xmlns:a16="http://schemas.microsoft.com/office/drawing/2014/main" id="{A3ADFEA5-9636-FC46-9A22-41FE6D6D9A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7100" y="8420100"/>
          <a:ext cx="283418" cy="279400"/>
        </a:xfrm>
        <a:prstGeom prst="rect">
          <a:avLst/>
        </a:prstGeom>
      </xdr:spPr>
    </xdr:pic>
    <xdr:clientData/>
  </xdr:twoCellAnchor>
  <xdr:twoCellAnchor editAs="oneCell">
    <xdr:from>
      <xdr:col>1</xdr:col>
      <xdr:colOff>546101</xdr:colOff>
      <xdr:row>5</xdr:row>
      <xdr:rowOff>152400</xdr:rowOff>
    </xdr:from>
    <xdr:to>
      <xdr:col>1</xdr:col>
      <xdr:colOff>988441</xdr:colOff>
      <xdr:row>8</xdr:row>
      <xdr:rowOff>25400</xdr:rowOff>
    </xdr:to>
    <xdr:pic>
      <xdr:nvPicPr>
        <xdr:cNvPr id="5" name="Graphic 4" descr="Badge 1 outline">
          <a:extLst>
            <a:ext uri="{FF2B5EF4-FFF2-40B4-BE49-F238E27FC236}">
              <a16:creationId xmlns:a16="http://schemas.microsoft.com/office/drawing/2014/main" id="{04277FA3-2460-9B44-B698-2E29607F675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9301" y="2628900"/>
          <a:ext cx="442340" cy="444500"/>
        </a:xfrm>
        <a:prstGeom prst="rect">
          <a:avLst/>
        </a:prstGeom>
      </xdr:spPr>
    </xdr:pic>
    <xdr:clientData/>
  </xdr:twoCellAnchor>
  <xdr:twoCellAnchor editAs="oneCell">
    <xdr:from>
      <xdr:col>1</xdr:col>
      <xdr:colOff>1562100</xdr:colOff>
      <xdr:row>20</xdr:row>
      <xdr:rowOff>12701</xdr:rowOff>
    </xdr:from>
    <xdr:to>
      <xdr:col>2</xdr:col>
      <xdr:colOff>235514</xdr:colOff>
      <xdr:row>21</xdr:row>
      <xdr:rowOff>38101</xdr:rowOff>
    </xdr:to>
    <xdr:pic>
      <xdr:nvPicPr>
        <xdr:cNvPr id="6" name="Graphic 5" descr="Badge outline">
          <a:extLst>
            <a:ext uri="{FF2B5EF4-FFF2-40B4-BE49-F238E27FC236}">
              <a16:creationId xmlns:a16="http://schemas.microsoft.com/office/drawing/2014/main" id="{07BC6FB4-30D4-3B4C-82A7-3A13DEBAEE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65300" y="7632701"/>
          <a:ext cx="400614" cy="406400"/>
        </a:xfrm>
        <a:prstGeom prst="rect">
          <a:avLst/>
        </a:prstGeom>
      </xdr:spPr>
    </xdr:pic>
    <xdr:clientData/>
  </xdr:twoCellAnchor>
  <xdr:twoCellAnchor editAs="oneCell">
    <xdr:from>
      <xdr:col>2</xdr:col>
      <xdr:colOff>114300</xdr:colOff>
      <xdr:row>9</xdr:row>
      <xdr:rowOff>1</xdr:rowOff>
    </xdr:from>
    <xdr:to>
      <xdr:col>2</xdr:col>
      <xdr:colOff>478424</xdr:colOff>
      <xdr:row>9</xdr:row>
      <xdr:rowOff>368301</xdr:rowOff>
    </xdr:to>
    <xdr:pic>
      <xdr:nvPicPr>
        <xdr:cNvPr id="7" name="Graphic 6" descr="Badge with solid fill">
          <a:extLst>
            <a:ext uri="{FF2B5EF4-FFF2-40B4-BE49-F238E27FC236}">
              <a16:creationId xmlns:a16="http://schemas.microsoft.com/office/drawing/2014/main" id="{E2D2D73D-84FE-7040-B7F6-C72C658366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44700" y="3429001"/>
          <a:ext cx="364124" cy="368300"/>
        </a:xfrm>
        <a:prstGeom prst="rect">
          <a:avLst/>
        </a:prstGeom>
      </xdr:spPr>
    </xdr:pic>
    <xdr:clientData/>
  </xdr:twoCellAnchor>
  <xdr:twoCellAnchor editAs="oneCell">
    <xdr:from>
      <xdr:col>1</xdr:col>
      <xdr:colOff>1003300</xdr:colOff>
      <xdr:row>5</xdr:row>
      <xdr:rowOff>165100</xdr:rowOff>
    </xdr:from>
    <xdr:to>
      <xdr:col>1</xdr:col>
      <xdr:colOff>1422400</xdr:colOff>
      <xdr:row>8</xdr:row>
      <xdr:rowOff>12700</xdr:rowOff>
    </xdr:to>
    <xdr:pic>
      <xdr:nvPicPr>
        <xdr:cNvPr id="8" name="Graphic 7" descr="Badge 3 outline">
          <a:extLst>
            <a:ext uri="{FF2B5EF4-FFF2-40B4-BE49-F238E27FC236}">
              <a16:creationId xmlns:a16="http://schemas.microsoft.com/office/drawing/2014/main" id="{1132BB6C-792C-6544-933E-6735412AB2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6500" y="2641600"/>
          <a:ext cx="419100" cy="419100"/>
        </a:xfrm>
        <a:prstGeom prst="rect">
          <a:avLst/>
        </a:prstGeom>
      </xdr:spPr>
    </xdr:pic>
    <xdr:clientData/>
  </xdr:twoCellAnchor>
  <xdr:twoCellAnchor editAs="oneCell">
    <xdr:from>
      <xdr:col>1</xdr:col>
      <xdr:colOff>736600</xdr:colOff>
      <xdr:row>25</xdr:row>
      <xdr:rowOff>12700</xdr:rowOff>
    </xdr:from>
    <xdr:to>
      <xdr:col>1</xdr:col>
      <xdr:colOff>1175759</xdr:colOff>
      <xdr:row>26</xdr:row>
      <xdr:rowOff>70859</xdr:rowOff>
    </xdr:to>
    <xdr:pic>
      <xdr:nvPicPr>
        <xdr:cNvPr id="9" name="Graphic 8" descr="Badge 3 with solid fill">
          <a:extLst>
            <a:ext uri="{FF2B5EF4-FFF2-40B4-BE49-F238E27FC236}">
              <a16:creationId xmlns:a16="http://schemas.microsoft.com/office/drawing/2014/main" id="{C3A59D1E-937A-0B48-ABD3-852A6A6865F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39800" y="9537700"/>
          <a:ext cx="439159" cy="439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topLeftCell="A10" zoomScaleNormal="100" zoomScalePageLayoutView="70" workbookViewId="0">
      <selection activeCell="M29" sqref="M29"/>
    </sheetView>
  </sheetViews>
  <sheetFormatPr baseColWidth="10" defaultColWidth="8.6640625" defaultRowHeight="30" customHeight="1" x14ac:dyDescent="0.15"/>
  <cols>
    <col min="1" max="1" width="2.6640625" style="10"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11"/>
      <c r="B1" s="83" t="s">
        <v>40</v>
      </c>
      <c r="C1" s="13"/>
      <c r="D1" s="14"/>
      <c r="E1" s="15"/>
      <c r="F1" s="16"/>
      <c r="H1" s="1"/>
      <c r="I1" s="99" t="s">
        <v>20</v>
      </c>
      <c r="J1" s="100"/>
      <c r="K1" s="100"/>
      <c r="L1" s="100"/>
      <c r="M1" s="100"/>
      <c r="N1" s="100"/>
      <c r="O1" s="100"/>
      <c r="P1" s="19"/>
      <c r="Q1" s="98">
        <v>46115</v>
      </c>
      <c r="R1" s="97"/>
      <c r="S1" s="97"/>
      <c r="T1" s="97"/>
      <c r="U1" s="97"/>
      <c r="V1" s="97"/>
      <c r="W1" s="97"/>
      <c r="X1" s="97"/>
      <c r="Y1" s="97"/>
      <c r="Z1" s="97"/>
      <c r="AI1" t="s">
        <v>47</v>
      </c>
      <c r="BA1" t="s">
        <v>48</v>
      </c>
    </row>
    <row r="2" spans="1:64" ht="30" customHeight="1" x14ac:dyDescent="0.4">
      <c r="B2" s="81" t="s">
        <v>41</v>
      </c>
      <c r="C2" s="82"/>
      <c r="D2" s="17"/>
      <c r="E2" s="18"/>
      <c r="F2" s="17"/>
      <c r="I2" s="99" t="s">
        <v>21</v>
      </c>
      <c r="J2" s="100"/>
      <c r="K2" s="100"/>
      <c r="L2" s="100"/>
      <c r="M2" s="100"/>
      <c r="N2" s="100"/>
      <c r="O2" s="100"/>
      <c r="P2" s="19"/>
      <c r="Q2" s="96">
        <v>1</v>
      </c>
      <c r="R2" s="97"/>
      <c r="S2" s="97"/>
      <c r="T2" s="97"/>
      <c r="U2" s="97"/>
      <c r="V2" s="97"/>
      <c r="W2" s="97"/>
      <c r="X2" s="97"/>
      <c r="Y2" s="97"/>
      <c r="Z2" s="97"/>
    </row>
    <row r="3" spans="1:64" s="21" customFormat="1" ht="30" customHeight="1" x14ac:dyDescent="0.15">
      <c r="A3" s="10"/>
      <c r="B3" s="20" t="s">
        <v>7</v>
      </c>
      <c r="D3" s="22"/>
      <c r="E3" s="23"/>
    </row>
    <row r="4" spans="1:64" s="21" customFormat="1" ht="30" customHeight="1" x14ac:dyDescent="0.15">
      <c r="A4" s="11"/>
      <c r="B4" s="24" t="s">
        <v>12</v>
      </c>
      <c r="E4" s="25"/>
      <c r="I4" s="93">
        <f>I5</f>
        <v>46111</v>
      </c>
      <c r="J4" s="91"/>
      <c r="K4" s="91"/>
      <c r="L4" s="91"/>
      <c r="M4" s="91"/>
      <c r="N4" s="91"/>
      <c r="O4" s="91"/>
      <c r="P4" s="91">
        <f>P5</f>
        <v>46118</v>
      </c>
      <c r="Q4" s="91"/>
      <c r="R4" s="91"/>
      <c r="S4" s="91"/>
      <c r="T4" s="91"/>
      <c r="U4" s="91"/>
      <c r="V4" s="91"/>
      <c r="W4" s="91">
        <f>W5</f>
        <v>46125</v>
      </c>
      <c r="X4" s="91"/>
      <c r="Y4" s="91"/>
      <c r="Z4" s="91"/>
      <c r="AA4" s="91"/>
      <c r="AB4" s="91"/>
      <c r="AC4" s="91"/>
      <c r="AD4" s="91">
        <f>AD5</f>
        <v>46132</v>
      </c>
      <c r="AE4" s="91"/>
      <c r="AF4" s="91"/>
      <c r="AG4" s="91"/>
      <c r="AH4" s="91"/>
      <c r="AI4" s="91"/>
      <c r="AJ4" s="91"/>
      <c r="AK4" s="91">
        <f>AK5</f>
        <v>46139</v>
      </c>
      <c r="AL4" s="91"/>
      <c r="AM4" s="91"/>
      <c r="AN4" s="91"/>
      <c r="AO4" s="91"/>
      <c r="AP4" s="91"/>
      <c r="AQ4" s="91"/>
      <c r="AR4" s="91">
        <f>AR5</f>
        <v>46146</v>
      </c>
      <c r="AS4" s="91"/>
      <c r="AT4" s="91"/>
      <c r="AU4" s="91"/>
      <c r="AV4" s="91"/>
      <c r="AW4" s="91"/>
      <c r="AX4" s="91"/>
      <c r="AY4" s="91">
        <f>AY5</f>
        <v>46153</v>
      </c>
      <c r="AZ4" s="91"/>
      <c r="BA4" s="91"/>
      <c r="BB4" s="91"/>
      <c r="BC4" s="91"/>
      <c r="BD4" s="91"/>
      <c r="BE4" s="91"/>
      <c r="BF4" s="91">
        <f>BF5</f>
        <v>46160</v>
      </c>
      <c r="BG4" s="91"/>
      <c r="BH4" s="91"/>
      <c r="BI4" s="91"/>
      <c r="BJ4" s="91"/>
      <c r="BK4" s="91"/>
      <c r="BL4" s="92"/>
    </row>
    <row r="5" spans="1:64" s="21" customFormat="1" ht="15" customHeight="1" x14ac:dyDescent="0.15">
      <c r="A5" s="101"/>
      <c r="B5" s="102" t="s">
        <v>4</v>
      </c>
      <c r="C5" s="104" t="s">
        <v>22</v>
      </c>
      <c r="D5" s="94" t="s">
        <v>0</v>
      </c>
      <c r="E5" s="94" t="s">
        <v>2</v>
      </c>
      <c r="F5" s="94" t="s">
        <v>3</v>
      </c>
      <c r="I5" s="26">
        <f>Project_Start-WEEKDAY(Project_Start,1)+2+7*(Display_Week-1)</f>
        <v>46111</v>
      </c>
      <c r="J5" s="26">
        <f>I5+1</f>
        <v>46112</v>
      </c>
      <c r="K5" s="26">
        <f t="shared" ref="K5:AX5" si="0">J5+1</f>
        <v>46113</v>
      </c>
      <c r="L5" s="26">
        <f t="shared" si="0"/>
        <v>46114</v>
      </c>
      <c r="M5" s="26">
        <f t="shared" si="0"/>
        <v>46115</v>
      </c>
      <c r="N5" s="26">
        <f t="shared" si="0"/>
        <v>46116</v>
      </c>
      <c r="O5" s="27">
        <f t="shared" si="0"/>
        <v>46117</v>
      </c>
      <c r="P5" s="28">
        <f>O5+1</f>
        <v>46118</v>
      </c>
      <c r="Q5" s="26">
        <f>P5+1</f>
        <v>46119</v>
      </c>
      <c r="R5" s="26">
        <f t="shared" si="0"/>
        <v>46120</v>
      </c>
      <c r="S5" s="26">
        <f t="shared" si="0"/>
        <v>46121</v>
      </c>
      <c r="T5" s="26">
        <f t="shared" si="0"/>
        <v>46122</v>
      </c>
      <c r="U5" s="26">
        <f t="shared" si="0"/>
        <v>46123</v>
      </c>
      <c r="V5" s="27">
        <f t="shared" si="0"/>
        <v>46124</v>
      </c>
      <c r="W5" s="28">
        <f>V5+1</f>
        <v>46125</v>
      </c>
      <c r="X5" s="26">
        <f>W5+1</f>
        <v>46126</v>
      </c>
      <c r="Y5" s="26">
        <f t="shared" si="0"/>
        <v>46127</v>
      </c>
      <c r="Z5" s="26">
        <f t="shared" si="0"/>
        <v>46128</v>
      </c>
      <c r="AA5" s="26">
        <f t="shared" si="0"/>
        <v>46129</v>
      </c>
      <c r="AB5" s="26">
        <f t="shared" si="0"/>
        <v>46130</v>
      </c>
      <c r="AC5" s="27">
        <f t="shared" si="0"/>
        <v>46131</v>
      </c>
      <c r="AD5" s="28">
        <f>AC5+1</f>
        <v>46132</v>
      </c>
      <c r="AE5" s="26">
        <f>AD5+1</f>
        <v>46133</v>
      </c>
      <c r="AF5" s="26">
        <f t="shared" si="0"/>
        <v>46134</v>
      </c>
      <c r="AG5" s="26">
        <f t="shared" si="0"/>
        <v>46135</v>
      </c>
      <c r="AH5" s="26">
        <f t="shared" si="0"/>
        <v>46136</v>
      </c>
      <c r="AI5" s="26">
        <f t="shared" si="0"/>
        <v>46137</v>
      </c>
      <c r="AJ5" s="27">
        <f t="shared" si="0"/>
        <v>46138</v>
      </c>
      <c r="AK5" s="28">
        <f>AJ5+1</f>
        <v>46139</v>
      </c>
      <c r="AL5" s="26">
        <f>AK5+1</f>
        <v>46140</v>
      </c>
      <c r="AM5" s="26">
        <f t="shared" si="0"/>
        <v>46141</v>
      </c>
      <c r="AN5" s="26">
        <f t="shared" si="0"/>
        <v>46142</v>
      </c>
      <c r="AO5" s="26">
        <f t="shared" si="0"/>
        <v>46143</v>
      </c>
      <c r="AP5" s="26">
        <f t="shared" si="0"/>
        <v>46144</v>
      </c>
      <c r="AQ5" s="27">
        <f t="shared" si="0"/>
        <v>46145</v>
      </c>
      <c r="AR5" s="28">
        <f>AQ5+1</f>
        <v>46146</v>
      </c>
      <c r="AS5" s="26">
        <f>AR5+1</f>
        <v>46147</v>
      </c>
      <c r="AT5" s="26">
        <f t="shared" si="0"/>
        <v>46148</v>
      </c>
      <c r="AU5" s="26">
        <f t="shared" si="0"/>
        <v>46149</v>
      </c>
      <c r="AV5" s="26">
        <f t="shared" si="0"/>
        <v>46150</v>
      </c>
      <c r="AW5" s="26">
        <f t="shared" si="0"/>
        <v>46151</v>
      </c>
      <c r="AX5" s="27">
        <f t="shared" si="0"/>
        <v>46152</v>
      </c>
      <c r="AY5" s="28">
        <f>AX5+1</f>
        <v>46153</v>
      </c>
      <c r="AZ5" s="26">
        <f>AY5+1</f>
        <v>46154</v>
      </c>
      <c r="BA5" s="26">
        <f t="shared" ref="BA5:BE5" si="1">AZ5+1</f>
        <v>46155</v>
      </c>
      <c r="BB5" s="26">
        <f t="shared" si="1"/>
        <v>46156</v>
      </c>
      <c r="BC5" s="26">
        <f t="shared" si="1"/>
        <v>46157</v>
      </c>
      <c r="BD5" s="26">
        <f t="shared" si="1"/>
        <v>46158</v>
      </c>
      <c r="BE5" s="27">
        <f t="shared" si="1"/>
        <v>46159</v>
      </c>
      <c r="BF5" s="28">
        <f>BE5+1</f>
        <v>46160</v>
      </c>
      <c r="BG5" s="26">
        <f>BF5+1</f>
        <v>46161</v>
      </c>
      <c r="BH5" s="26">
        <f t="shared" ref="BH5:BL5" si="2">BG5+1</f>
        <v>46162</v>
      </c>
      <c r="BI5" s="26">
        <f t="shared" si="2"/>
        <v>46163</v>
      </c>
      <c r="BJ5" s="26">
        <f t="shared" si="2"/>
        <v>46164</v>
      </c>
      <c r="BK5" s="26">
        <f t="shared" si="2"/>
        <v>46165</v>
      </c>
      <c r="BL5" s="26">
        <f t="shared" si="2"/>
        <v>46166</v>
      </c>
    </row>
    <row r="6" spans="1:64" s="21" customFormat="1" ht="15" customHeight="1" thickBot="1" x14ac:dyDescent="0.2">
      <c r="A6" s="101"/>
      <c r="B6" s="103"/>
      <c r="C6" s="95"/>
      <c r="D6" s="95"/>
      <c r="E6" s="95"/>
      <c r="F6" s="95"/>
      <c r="I6" s="29" t="str">
        <f t="shared" ref="I6:AN6" si="3">LEFT(TEXT(I5,"ddd"),1)</f>
        <v>M</v>
      </c>
      <c r="J6" s="30" t="str">
        <f t="shared" si="3"/>
        <v>T</v>
      </c>
      <c r="K6" s="30" t="str">
        <f t="shared" si="3"/>
        <v>W</v>
      </c>
      <c r="L6" s="30" t="str">
        <f t="shared" si="3"/>
        <v>T</v>
      </c>
      <c r="M6" s="30" t="str">
        <f t="shared" si="3"/>
        <v>F</v>
      </c>
      <c r="N6" s="30" t="str">
        <f t="shared" si="3"/>
        <v>S</v>
      </c>
      <c r="O6" s="30" t="str">
        <f t="shared" si="3"/>
        <v>S</v>
      </c>
      <c r="P6" s="30" t="str">
        <f t="shared" si="3"/>
        <v>M</v>
      </c>
      <c r="Q6" s="30" t="str">
        <f t="shared" si="3"/>
        <v>T</v>
      </c>
      <c r="R6" s="30" t="str">
        <f t="shared" si="3"/>
        <v>W</v>
      </c>
      <c r="S6" s="30" t="str">
        <f t="shared" si="3"/>
        <v>T</v>
      </c>
      <c r="T6" s="30" t="str">
        <f t="shared" si="3"/>
        <v>F</v>
      </c>
      <c r="U6" s="30" t="str">
        <f t="shared" si="3"/>
        <v>S</v>
      </c>
      <c r="V6" s="30" t="str">
        <f t="shared" si="3"/>
        <v>S</v>
      </c>
      <c r="W6" s="30" t="str">
        <f t="shared" si="3"/>
        <v>M</v>
      </c>
      <c r="X6" s="30" t="str">
        <f t="shared" si="3"/>
        <v>T</v>
      </c>
      <c r="Y6" s="30" t="str">
        <f t="shared" si="3"/>
        <v>W</v>
      </c>
      <c r="Z6" s="30" t="str">
        <f t="shared" si="3"/>
        <v>T</v>
      </c>
      <c r="AA6" s="30" t="str">
        <f t="shared" si="3"/>
        <v>F</v>
      </c>
      <c r="AB6" s="30" t="str">
        <f t="shared" si="3"/>
        <v>S</v>
      </c>
      <c r="AC6" s="30" t="str">
        <f t="shared" si="3"/>
        <v>S</v>
      </c>
      <c r="AD6" s="30" t="str">
        <f t="shared" si="3"/>
        <v>M</v>
      </c>
      <c r="AE6" s="30" t="str">
        <f t="shared" si="3"/>
        <v>T</v>
      </c>
      <c r="AF6" s="30" t="str">
        <f t="shared" si="3"/>
        <v>W</v>
      </c>
      <c r="AG6" s="30" t="str">
        <f t="shared" si="3"/>
        <v>T</v>
      </c>
      <c r="AH6" s="30" t="str">
        <f t="shared" si="3"/>
        <v>F</v>
      </c>
      <c r="AI6" s="30" t="str">
        <f t="shared" si="3"/>
        <v>S</v>
      </c>
      <c r="AJ6" s="30" t="str">
        <f t="shared" si="3"/>
        <v>S</v>
      </c>
      <c r="AK6" s="30" t="str">
        <f t="shared" si="3"/>
        <v>M</v>
      </c>
      <c r="AL6" s="30" t="str">
        <f t="shared" si="3"/>
        <v>T</v>
      </c>
      <c r="AM6" s="30" t="str">
        <f t="shared" si="3"/>
        <v>W</v>
      </c>
      <c r="AN6" s="30" t="str">
        <f t="shared" si="3"/>
        <v>T</v>
      </c>
      <c r="AO6" s="30" t="str">
        <f t="shared" ref="AO6:BL6" si="4">LEFT(TEXT(AO5,"ddd"),1)</f>
        <v>F</v>
      </c>
      <c r="AP6" s="30" t="str">
        <f t="shared" si="4"/>
        <v>S</v>
      </c>
      <c r="AQ6" s="30" t="str">
        <f t="shared" si="4"/>
        <v>S</v>
      </c>
      <c r="AR6" s="30" t="str">
        <f t="shared" si="4"/>
        <v>M</v>
      </c>
      <c r="AS6" s="30" t="str">
        <f t="shared" si="4"/>
        <v>T</v>
      </c>
      <c r="AT6" s="30" t="str">
        <f t="shared" si="4"/>
        <v>W</v>
      </c>
      <c r="AU6" s="30" t="str">
        <f t="shared" si="4"/>
        <v>T</v>
      </c>
      <c r="AV6" s="30" t="str">
        <f t="shared" si="4"/>
        <v>F</v>
      </c>
      <c r="AW6" s="30" t="str">
        <f t="shared" si="4"/>
        <v>S</v>
      </c>
      <c r="AX6" s="30" t="str">
        <f t="shared" si="4"/>
        <v>S</v>
      </c>
      <c r="AY6" s="30" t="str">
        <f t="shared" si="4"/>
        <v>M</v>
      </c>
      <c r="AZ6" s="30" t="str">
        <f t="shared" si="4"/>
        <v>T</v>
      </c>
      <c r="BA6" s="30" t="str">
        <f t="shared" si="4"/>
        <v>W</v>
      </c>
      <c r="BB6" s="30" t="str">
        <f t="shared" si="4"/>
        <v>T</v>
      </c>
      <c r="BC6" s="30" t="str">
        <f t="shared" si="4"/>
        <v>F</v>
      </c>
      <c r="BD6" s="30" t="str">
        <f t="shared" si="4"/>
        <v>S</v>
      </c>
      <c r="BE6" s="30" t="str">
        <f t="shared" si="4"/>
        <v>S</v>
      </c>
      <c r="BF6" s="30" t="str">
        <f t="shared" si="4"/>
        <v>M</v>
      </c>
      <c r="BG6" s="30" t="str">
        <f t="shared" si="4"/>
        <v>T</v>
      </c>
      <c r="BH6" s="30" t="str">
        <f t="shared" si="4"/>
        <v>W</v>
      </c>
      <c r="BI6" s="30" t="str">
        <f t="shared" si="4"/>
        <v>T</v>
      </c>
      <c r="BJ6" s="30" t="str">
        <f t="shared" si="4"/>
        <v>F</v>
      </c>
      <c r="BK6" s="30" t="str">
        <f t="shared" si="4"/>
        <v>S</v>
      </c>
      <c r="BL6" s="31" t="str">
        <f t="shared" si="4"/>
        <v>S</v>
      </c>
    </row>
    <row r="7" spans="1:64" s="21" customFormat="1" ht="30" hidden="1" customHeight="1" thickBot="1" x14ac:dyDescent="0.2">
      <c r="A7" s="10" t="s">
        <v>19</v>
      </c>
      <c r="B7" s="32"/>
      <c r="C7" s="33"/>
      <c r="D7" s="32"/>
      <c r="E7" s="32"/>
      <c r="F7" s="32"/>
      <c r="H7" s="21"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x14ac:dyDescent="0.2">
      <c r="A8" s="11"/>
      <c r="B8" s="35" t="s">
        <v>23</v>
      </c>
      <c r="C8" s="36"/>
      <c r="D8" s="37"/>
      <c r="E8" s="38"/>
      <c r="F8" s="39"/>
      <c r="G8" s="12"/>
      <c r="H8" s="3" t="str">
        <f t="shared" ref="H8:H31"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thickBot="1" x14ac:dyDescent="0.2">
      <c r="A9" s="11"/>
      <c r="B9" s="42" t="s">
        <v>29</v>
      </c>
      <c r="C9" s="43"/>
      <c r="D9" s="44"/>
      <c r="E9" s="45">
        <f>Project_Start</f>
        <v>46115</v>
      </c>
      <c r="F9" s="45">
        <v>46122</v>
      </c>
      <c r="G9" s="12"/>
      <c r="H9" s="3">
        <f t="shared" si="5"/>
        <v>8</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41" customFormat="1" ht="30" customHeight="1" thickBot="1" x14ac:dyDescent="0.2">
      <c r="A10" s="11"/>
      <c r="B10" s="47" t="s">
        <v>46</v>
      </c>
      <c r="C10" s="48"/>
      <c r="D10" s="49"/>
      <c r="E10" s="50">
        <v>46122</v>
      </c>
      <c r="F10" s="50">
        <v>46126</v>
      </c>
      <c r="G10" s="12"/>
      <c r="H10" s="3">
        <f t="shared" si="5"/>
        <v>5</v>
      </c>
      <c r="I10" s="46"/>
      <c r="J10" s="46"/>
      <c r="K10" s="46"/>
      <c r="L10" s="46"/>
      <c r="M10" s="46"/>
      <c r="N10" s="46"/>
      <c r="O10" s="46"/>
      <c r="P10" s="46"/>
      <c r="Q10" s="46"/>
      <c r="R10" s="46"/>
      <c r="S10" s="46"/>
      <c r="T10" s="46"/>
      <c r="U10" s="51"/>
      <c r="V10" s="51"/>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41" customFormat="1" ht="30" customHeight="1" thickBot="1" x14ac:dyDescent="0.2">
      <c r="A11" s="10"/>
      <c r="B11" s="47" t="s">
        <v>30</v>
      </c>
      <c r="C11" s="48"/>
      <c r="D11" s="49"/>
      <c r="E11" s="50">
        <f>F10</f>
        <v>46126</v>
      </c>
      <c r="F11" s="50">
        <f>E11+4</f>
        <v>46130</v>
      </c>
      <c r="G11" s="12"/>
      <c r="H11" s="3">
        <f t="shared" si="5"/>
        <v>5</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41" customFormat="1" ht="30" customHeight="1" thickBot="1" x14ac:dyDescent="0.2">
      <c r="A12" s="10"/>
      <c r="B12" s="47" t="s">
        <v>31</v>
      </c>
      <c r="C12" s="48"/>
      <c r="D12" s="49"/>
      <c r="E12" s="50">
        <v>46129</v>
      </c>
      <c r="F12" s="50">
        <v>46130</v>
      </c>
      <c r="G12" s="12"/>
      <c r="H12" s="3">
        <f t="shared" si="5"/>
        <v>2</v>
      </c>
      <c r="I12" s="46"/>
      <c r="J12" s="46"/>
      <c r="K12" s="46"/>
      <c r="L12" s="46"/>
      <c r="M12" s="46"/>
      <c r="N12" s="46"/>
      <c r="O12" s="46"/>
      <c r="P12" s="46"/>
      <c r="Q12" s="46"/>
      <c r="R12" s="46"/>
      <c r="S12" s="46"/>
      <c r="T12" s="46"/>
      <c r="U12" s="46"/>
      <c r="V12" s="46"/>
      <c r="W12" s="46"/>
      <c r="X12" s="46"/>
      <c r="Y12" s="51"/>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row>
    <row r="13" spans="1:64" s="41" customFormat="1" ht="30" customHeight="1" thickBot="1" x14ac:dyDescent="0.2">
      <c r="A13" s="10"/>
      <c r="B13" s="47"/>
      <c r="C13" s="48"/>
      <c r="D13" s="49"/>
      <c r="E13" s="50"/>
      <c r="F13" s="50"/>
      <c r="G13" s="12"/>
      <c r="H13" s="3" t="str">
        <f t="shared" si="5"/>
        <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row>
    <row r="14" spans="1:64" s="41" customFormat="1" ht="30" customHeight="1" thickBot="1" x14ac:dyDescent="0.2">
      <c r="A14" s="11"/>
      <c r="B14" s="52" t="s">
        <v>24</v>
      </c>
      <c r="C14" s="53"/>
      <c r="D14" s="54"/>
      <c r="E14" s="55"/>
      <c r="F14" s="56"/>
      <c r="G14" s="12"/>
      <c r="H14" s="3" t="str">
        <f t="shared" si="5"/>
        <v/>
      </c>
    </row>
    <row r="15" spans="1:64" s="41" customFormat="1" ht="30" customHeight="1" thickBot="1" x14ac:dyDescent="0.2">
      <c r="A15" s="11"/>
      <c r="B15" s="57" t="s">
        <v>32</v>
      </c>
      <c r="C15" s="58"/>
      <c r="D15" s="59"/>
      <c r="E15" s="60">
        <v>46115</v>
      </c>
      <c r="F15" s="60">
        <v>46117</v>
      </c>
      <c r="G15" s="12"/>
      <c r="H15" s="3">
        <f t="shared" si="5"/>
        <v>3</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41" customFormat="1" ht="30" customHeight="1" thickBot="1" x14ac:dyDescent="0.2">
      <c r="A16" s="10"/>
      <c r="B16" s="57" t="s">
        <v>33</v>
      </c>
      <c r="C16" s="58"/>
      <c r="D16" s="59"/>
      <c r="E16" s="60">
        <v>46117</v>
      </c>
      <c r="F16" s="60">
        <v>46118</v>
      </c>
      <c r="G16" s="12"/>
      <c r="H16" s="3">
        <f t="shared" si="5"/>
        <v>2</v>
      </c>
      <c r="I16" s="46"/>
      <c r="J16" s="46"/>
      <c r="K16" s="46"/>
      <c r="L16" s="46"/>
      <c r="M16" s="46"/>
      <c r="N16" s="46"/>
      <c r="O16" s="46"/>
      <c r="P16" s="46"/>
      <c r="Q16" s="46"/>
      <c r="R16" s="46"/>
      <c r="S16" s="46"/>
      <c r="T16" s="46"/>
      <c r="U16" s="51"/>
      <c r="V16" s="51"/>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row>
    <row r="17" spans="1:64" s="41" customFormat="1" ht="30" customHeight="1" thickBot="1" x14ac:dyDescent="0.2">
      <c r="A17" s="10"/>
      <c r="B17" s="57" t="s">
        <v>42</v>
      </c>
      <c r="C17" s="58"/>
      <c r="D17" s="59"/>
      <c r="E17" s="60">
        <f>F16</f>
        <v>46118</v>
      </c>
      <c r="F17" s="60">
        <v>46119</v>
      </c>
      <c r="G17" s="12"/>
      <c r="H17" s="3">
        <f t="shared" si="5"/>
        <v>2</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64" s="41" customFormat="1" ht="30" customHeight="1" thickBot="1" x14ac:dyDescent="0.2">
      <c r="A18" s="10"/>
      <c r="B18" s="57" t="s">
        <v>45</v>
      </c>
      <c r="C18" s="58"/>
      <c r="D18" s="59"/>
      <c r="E18" s="60">
        <v>46119</v>
      </c>
      <c r="F18" s="60">
        <v>46119</v>
      </c>
      <c r="G18" s="12"/>
      <c r="H18" s="3">
        <f t="shared" si="5"/>
        <v>1</v>
      </c>
      <c r="I18" s="46"/>
      <c r="J18" s="46"/>
      <c r="K18" s="46"/>
      <c r="L18" s="46"/>
      <c r="M18" s="46"/>
      <c r="N18" s="46"/>
      <c r="O18" s="46"/>
      <c r="P18" s="46"/>
      <c r="Q18" s="46"/>
      <c r="R18" s="46"/>
      <c r="S18" s="46"/>
      <c r="T18" s="46"/>
      <c r="U18" s="46"/>
      <c r="V18" s="46"/>
      <c r="W18" s="46"/>
      <c r="X18" s="46"/>
      <c r="Y18" s="51"/>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64" s="41" customFormat="1" ht="30" customHeight="1" thickBot="1" x14ac:dyDescent="0.2">
      <c r="A19" s="10"/>
      <c r="B19" s="57" t="s">
        <v>34</v>
      </c>
      <c r="C19" s="58"/>
      <c r="D19" s="59"/>
      <c r="E19" s="60">
        <f>E18</f>
        <v>46119</v>
      </c>
      <c r="F19" s="60">
        <v>46119</v>
      </c>
      <c r="G19" s="12"/>
      <c r="H19" s="3">
        <f t="shared" si="5"/>
        <v>1</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row>
    <row r="20" spans="1:64" s="41" customFormat="1" ht="30" customHeight="1" thickBot="1" x14ac:dyDescent="0.2">
      <c r="A20" s="10"/>
      <c r="B20" s="61" t="s">
        <v>26</v>
      </c>
      <c r="C20" s="62"/>
      <c r="D20" s="63"/>
      <c r="E20" s="64"/>
      <c r="F20" s="65"/>
      <c r="G20" s="12"/>
      <c r="H20" s="3" t="str">
        <f t="shared" si="5"/>
        <v/>
      </c>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row>
    <row r="21" spans="1:64" s="41" customFormat="1" ht="30" customHeight="1" thickBot="1" x14ac:dyDescent="0.2">
      <c r="A21" s="10"/>
      <c r="B21" s="67" t="s">
        <v>38</v>
      </c>
      <c r="C21" s="68"/>
      <c r="D21" s="69"/>
      <c r="E21" s="70">
        <v>46115</v>
      </c>
      <c r="F21" s="70">
        <v>46117</v>
      </c>
      <c r="G21" s="12"/>
      <c r="H21" s="3">
        <f t="shared" si="5"/>
        <v>3</v>
      </c>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row>
    <row r="22" spans="1:64" s="41" customFormat="1" ht="30" customHeight="1" thickBot="1" x14ac:dyDescent="0.2">
      <c r="A22" s="10"/>
      <c r="B22" s="67" t="s">
        <v>27</v>
      </c>
      <c r="C22" s="68"/>
      <c r="D22" s="69"/>
      <c r="E22" s="70">
        <v>46115</v>
      </c>
      <c r="F22" s="70">
        <v>46133</v>
      </c>
      <c r="G22" s="12"/>
      <c r="H22" s="3">
        <f t="shared" si="5"/>
        <v>19</v>
      </c>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row>
    <row r="23" spans="1:64" s="41" customFormat="1" ht="30" customHeight="1" thickBot="1" x14ac:dyDescent="0.2">
      <c r="A23" s="10"/>
      <c r="B23" s="67" t="s">
        <v>28</v>
      </c>
      <c r="C23" s="68"/>
      <c r="D23" s="69"/>
      <c r="E23" s="70">
        <v>46130</v>
      </c>
      <c r="F23" s="70">
        <v>46131</v>
      </c>
      <c r="G23" s="12"/>
      <c r="H23" s="3">
        <f t="shared" si="5"/>
        <v>2</v>
      </c>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row>
    <row r="24" spans="1:64" s="41" customFormat="1" ht="30" customHeight="1" thickBot="1" x14ac:dyDescent="0.2">
      <c r="A24" s="10"/>
      <c r="B24" s="67" t="s">
        <v>39</v>
      </c>
      <c r="C24" s="68"/>
      <c r="D24" s="69"/>
      <c r="E24" s="70">
        <v>46115</v>
      </c>
      <c r="F24" s="70">
        <v>46115</v>
      </c>
      <c r="G24" s="12"/>
      <c r="H24" s="3">
        <f t="shared" si="5"/>
        <v>1</v>
      </c>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row>
    <row r="25" spans="1:64" s="41" customFormat="1" ht="30" customHeight="1" thickBot="1" x14ac:dyDescent="0.2">
      <c r="A25" s="10"/>
      <c r="B25" s="67"/>
      <c r="C25" s="68"/>
      <c r="D25" s="69"/>
      <c r="E25" s="70"/>
      <c r="F25" s="70"/>
      <c r="G25" s="12"/>
      <c r="H25" s="3" t="str">
        <f t="shared" si="5"/>
        <v/>
      </c>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row>
    <row r="26" spans="1:64" s="41" customFormat="1" ht="30" customHeight="1" thickBot="1" x14ac:dyDescent="0.2">
      <c r="A26" s="10"/>
      <c r="B26" s="71" t="s">
        <v>25</v>
      </c>
      <c r="C26" s="72"/>
      <c r="D26" s="73"/>
      <c r="E26" s="74"/>
      <c r="F26" s="75"/>
      <c r="G26" s="12"/>
      <c r="H26" s="3" t="str">
        <f t="shared" si="5"/>
        <v/>
      </c>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row>
    <row r="27" spans="1:64" s="41" customFormat="1" ht="30" customHeight="1" thickBot="1" x14ac:dyDescent="0.2">
      <c r="A27" s="10"/>
      <c r="B27" s="77" t="s">
        <v>35</v>
      </c>
      <c r="C27" s="78"/>
      <c r="D27" s="79"/>
      <c r="E27" s="80">
        <v>46129</v>
      </c>
      <c r="F27" s="80">
        <v>46131</v>
      </c>
      <c r="G27" s="12"/>
      <c r="H27" s="3">
        <f t="shared" si="5"/>
        <v>3</v>
      </c>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row>
    <row r="28" spans="1:64" s="41" customFormat="1" ht="30" customHeight="1" thickBot="1" x14ac:dyDescent="0.2">
      <c r="A28" s="10"/>
      <c r="B28" s="77" t="s">
        <v>36</v>
      </c>
      <c r="C28" s="78"/>
      <c r="D28" s="79"/>
      <c r="E28" s="80">
        <v>46129</v>
      </c>
      <c r="F28" s="80">
        <v>46131</v>
      </c>
      <c r="G28" s="12"/>
      <c r="H28" s="3">
        <f t="shared" si="5"/>
        <v>3</v>
      </c>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row>
    <row r="29" spans="1:64" s="41" customFormat="1" ht="30" customHeight="1" thickBot="1" x14ac:dyDescent="0.2">
      <c r="A29" s="10"/>
      <c r="B29" s="77" t="s">
        <v>43</v>
      </c>
      <c r="C29" s="78"/>
      <c r="D29" s="79"/>
      <c r="E29" s="80">
        <v>46131</v>
      </c>
      <c r="F29" s="80">
        <v>46132</v>
      </c>
      <c r="G29" s="12"/>
      <c r="H29" s="3">
        <f t="shared" si="5"/>
        <v>2</v>
      </c>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row>
    <row r="30" spans="1:64" s="41" customFormat="1" ht="30" customHeight="1" thickBot="1" x14ac:dyDescent="0.2">
      <c r="A30" s="10"/>
      <c r="B30" s="77" t="s">
        <v>44</v>
      </c>
      <c r="C30" s="78"/>
      <c r="D30" s="79"/>
      <c r="E30" s="80">
        <v>46131</v>
      </c>
      <c r="F30" s="80">
        <v>46132</v>
      </c>
      <c r="G30" s="12"/>
      <c r="H30" s="3">
        <f t="shared" si="5"/>
        <v>2</v>
      </c>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row>
    <row r="31" spans="1:64" s="41" customFormat="1" ht="30" customHeight="1" thickBot="1" x14ac:dyDescent="0.2">
      <c r="A31" s="10"/>
      <c r="B31" s="77" t="s">
        <v>37</v>
      </c>
      <c r="C31" s="78"/>
      <c r="D31" s="79"/>
      <c r="E31" s="80">
        <v>46132</v>
      </c>
      <c r="F31" s="80">
        <v>46132</v>
      </c>
      <c r="G31" s="12"/>
      <c r="H31" s="3">
        <f t="shared" si="5"/>
        <v>1</v>
      </c>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row>
    <row r="32" spans="1:64" s="41" customFormat="1" ht="30" customHeight="1" x14ac:dyDescent="0.15">
      <c r="A32" s="10"/>
      <c r="B32"/>
      <c r="C32"/>
      <c r="D32"/>
      <c r="E32" s="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41" customFormat="1" ht="30" customHeight="1" x14ac:dyDescent="0.15">
      <c r="A33" s="10"/>
      <c r="B33"/>
      <c r="C33"/>
      <c r="D33"/>
      <c r="E33" s="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1">
    <cfRule type="dataBar" priority="2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5">
      <formula>AND(TODAY()&gt;=I$5, TODAY()&lt;J$5)</formula>
    </cfRule>
  </conditionalFormatting>
  <conditionalFormatting sqref="I9:BL13">
    <cfRule type="expression" dxfId="7" priority="10">
      <formula>AND(task_start&lt;=I$5,ROUNDDOWN((task_end-task_start+1)*task_progress,0)+task_start-1&gt;=I$5)</formula>
    </cfRule>
    <cfRule type="expression" dxfId="6" priority="11" stopIfTrue="1">
      <formula>AND(task_end&gt;=I$5,task_start&lt;J$5)</formula>
    </cfRule>
  </conditionalFormatting>
  <conditionalFormatting sqref="I15:BL19">
    <cfRule type="expression" dxfId="5" priority="8">
      <formula>AND(task_start&lt;=I$5,ROUNDDOWN((task_end-task_start+1)*task_progress,0)+task_start-1&gt;=I$5)</formula>
    </cfRule>
    <cfRule type="expression" dxfId="4" priority="9" stopIfTrue="1">
      <formula>AND(task_end&gt;=I$5,task_start&lt;J$5)</formula>
    </cfRule>
  </conditionalFormatting>
  <conditionalFormatting sqref="I21:BL25">
    <cfRule type="expression" dxfId="3" priority="6">
      <formula>AND(task_start&lt;=I$5,ROUNDDOWN((task_end-task_start+1)*task_progress,0)+task_start-1&gt;=I$5)</formula>
    </cfRule>
    <cfRule type="expression" dxfId="2" priority="7" stopIfTrue="1">
      <formula>AND(task_end&gt;=I$5,task_start&lt;J$5)</formula>
    </cfRule>
  </conditionalFormatting>
  <conditionalFormatting sqref="I27:BL31">
    <cfRule type="expression" dxfId="1" priority="40">
      <formula>AND(task_start&lt;=I$5,ROUNDDOWN((task_end-task_start+1)*task_progress,0)+task_start-1&gt;=I$5)</formula>
    </cfRule>
    <cfRule type="expression" dxfId="0" priority="41"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4" customWidth="1"/>
    <col min="2" max="16384" width="9" style="1"/>
  </cols>
  <sheetData>
    <row r="1" spans="1:2" ht="46.5" customHeight="1" x14ac:dyDescent="0.15"/>
    <row r="2" spans="1:2" s="6" customFormat="1" ht="16" x14ac:dyDescent="0.15">
      <c r="A2" s="84" t="s">
        <v>7</v>
      </c>
      <c r="B2" s="5"/>
    </row>
    <row r="3" spans="1:2" s="8" customFormat="1" ht="27" customHeight="1" x14ac:dyDescent="0.15">
      <c r="A3" s="85"/>
      <c r="B3" s="9"/>
    </row>
    <row r="4" spans="1:2" s="7" customFormat="1" ht="31" x14ac:dyDescent="0.45">
      <c r="A4" s="86" t="s">
        <v>6</v>
      </c>
    </row>
    <row r="5" spans="1:2" ht="74.25" customHeight="1" x14ac:dyDescent="0.15">
      <c r="A5" s="87" t="s">
        <v>15</v>
      </c>
    </row>
    <row r="6" spans="1:2" ht="26.25" customHeight="1" x14ac:dyDescent="0.15">
      <c r="A6" s="86" t="s">
        <v>18</v>
      </c>
    </row>
    <row r="7" spans="1:2" s="4" customFormat="1" ht="205" customHeight="1" x14ac:dyDescent="0.15">
      <c r="A7" s="88" t="s">
        <v>17</v>
      </c>
    </row>
    <row r="8" spans="1:2" s="7" customFormat="1" ht="31" x14ac:dyDescent="0.45">
      <c r="A8" s="86" t="s">
        <v>8</v>
      </c>
    </row>
    <row r="9" spans="1:2" ht="60" x14ac:dyDescent="0.15">
      <c r="A9" s="87" t="s">
        <v>16</v>
      </c>
    </row>
    <row r="10" spans="1:2" s="4" customFormat="1" ht="28" customHeight="1" x14ac:dyDescent="0.15">
      <c r="A10" s="89" t="s">
        <v>14</v>
      </c>
    </row>
    <row r="11" spans="1:2" s="7" customFormat="1" ht="31" x14ac:dyDescent="0.45">
      <c r="A11" s="86" t="s">
        <v>5</v>
      </c>
    </row>
    <row r="12" spans="1:2" ht="30" x14ac:dyDescent="0.15">
      <c r="A12" s="87" t="s">
        <v>13</v>
      </c>
    </row>
    <row r="13" spans="1:2" s="4" customFormat="1" ht="28" customHeight="1" x14ac:dyDescent="0.15">
      <c r="A13" s="89" t="s">
        <v>1</v>
      </c>
    </row>
    <row r="14" spans="1:2" s="7" customFormat="1" ht="31" x14ac:dyDescent="0.45">
      <c r="A14" s="86" t="s">
        <v>9</v>
      </c>
    </row>
    <row r="15" spans="1:2" ht="75" customHeight="1" x14ac:dyDescent="0.15">
      <c r="A15" s="87" t="s">
        <v>10</v>
      </c>
    </row>
    <row r="16" spans="1:2" ht="75" x14ac:dyDescent="0.15">
      <c r="A16" s="87" t="s">
        <v>11</v>
      </c>
    </row>
    <row r="17" spans="1:1" x14ac:dyDescent="0.15">
      <c r="A17" s="90"/>
    </row>
    <row r="18" spans="1:1" x14ac:dyDescent="0.15">
      <c r="A18" s="90"/>
    </row>
    <row r="19" spans="1:1" x14ac:dyDescent="0.15">
      <c r="A19" s="90"/>
    </row>
    <row r="20" spans="1:1" x14ac:dyDescent="0.15">
      <c r="A20" s="90"/>
    </row>
    <row r="21" spans="1:1" x14ac:dyDescent="0.15">
      <c r="A21" s="90"/>
    </row>
    <row r="22" spans="1:1" x14ac:dyDescent="0.15">
      <c r="A22" s="90"/>
    </row>
    <row r="23" spans="1:1" x14ac:dyDescent="0.15">
      <c r="A23" s="90"/>
    </row>
    <row r="24" spans="1:1" x14ac:dyDescent="0.15">
      <c r="A24" s="9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16c05727-aa75-4e4a-9b5f-8a80a1165891"/>
    <ds:schemaRef ds:uri="http://www.w3.org/XML/1998/namespace"/>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230e9df3-be65-4c73-a93b-d1236ebd677e"/>
    <ds:schemaRef ds:uri="71af3243-3dd4-4a8d-8c0d-dd76da1f02a5"/>
    <ds:schemaRef ds:uri="http://purl.org/dc/elements/1.1/"/>
    <ds:schemaRef ds:uri="http://schemas.microsoft.com/sharepoint/v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Tyler Thiede</dc:creator>
  <dc:description/>
  <cp:lastModifiedBy>Tyler Thiede</cp:lastModifiedBy>
  <dcterms:created xsi:type="dcterms:W3CDTF">2022-03-11T22:41:12Z</dcterms:created>
  <dcterms:modified xsi:type="dcterms:W3CDTF">2026-04-19T00:08:35Z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