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codeName="ThisWorkbook"/>
  <mc:AlternateContent xmlns:mc="http://schemas.openxmlformats.org/markup-compatibility/2006">
    <mc:Choice Requires="x15">
      <x15ac:absPath xmlns:x15ac="http://schemas.microsoft.com/office/spreadsheetml/2010/11/ac" url="https://uofnebraska-my.sharepoint.com/personal/58708029_nebraska_edu/Documents/"/>
    </mc:Choice>
  </mc:AlternateContent>
  <xr:revisionPtr revIDLastSave="0" documentId="8_{A2CE5FEF-3839-3940-9777-F72A44B18F1B}" xr6:coauthVersionLast="47" xr6:coauthVersionMax="47" xr10:uidLastSave="{00000000-0000-0000-0000-000000000000}"/>
  <bookViews>
    <workbookView xWindow="0" yWindow="780" windowWidth="23260" windowHeight="1390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 i="11" l="1"/>
  <c r="E9" i="11" l="1"/>
  <c r="I5" i="11" l="1"/>
  <c r="H26" i="11"/>
  <c r="H20" i="11"/>
  <c r="H14" i="11"/>
  <c r="H8" i="11"/>
  <c r="H21" i="11" l="1"/>
  <c r="H22" i="11"/>
  <c r="H9" i="11"/>
  <c r="E11" i="11"/>
  <c r="I6" i="11"/>
  <c r="H31" i="11" l="1"/>
  <c r="H30" i="11"/>
  <c r="H27" i="11"/>
  <c r="H25" i="11"/>
  <c r="H10" i="11"/>
  <c r="H23" i="11"/>
  <c r="H15" i="11"/>
  <c r="H13" i="11"/>
  <c r="F11" i="11"/>
  <c r="J5" i="11"/>
  <c r="K5" i="11" s="1"/>
  <c r="L5" i="11" s="1"/>
  <c r="M5" i="11" s="1"/>
  <c r="N5" i="11" s="1"/>
  <c r="O5" i="11" s="1"/>
  <c r="P5" i="11" s="1"/>
  <c r="I4" i="11"/>
  <c r="H28" i="11" l="1"/>
  <c r="H29" i="11"/>
  <c r="H24" i="11"/>
  <c r="H16" i="11"/>
  <c r="E17" i="11"/>
  <c r="E19" i="11" s="1"/>
  <c r="H11" i="11"/>
  <c r="H12" i="11"/>
  <c r="P4" i="11"/>
  <c r="Q5" i="11"/>
  <c r="R5" i="11" s="1"/>
  <c r="S5" i="11" s="1"/>
  <c r="T5" i="11" s="1"/>
  <c r="U5" i="11" s="1"/>
  <c r="V5" i="11" s="1"/>
  <c r="W5" i="11" s="1"/>
  <c r="J6" i="11"/>
  <c r="H19" i="11" l="1"/>
  <c r="H18" i="11"/>
  <c r="H17"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<sst xmlns="http://schemas.openxmlformats.org/spreadsheetml/2006/main" count="68" uniqueCount="54">
  <si>
    <t>CIVE 202 Project 4</t>
  </si>
  <si>
    <t>Project start:</t>
  </si>
  <si>
    <t>Dependent on another part</t>
  </si>
  <si>
    <t>The part it is dependent on</t>
  </si>
  <si>
    <t>Ayub Abdi, Ryder Anderson, Tyler Thiede</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</si>
  <si>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</si>
  <si>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</si>
  <si>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</si>
  <si>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</si>
  <si>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</si>
  <si>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</si>
  <si>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</si>
  <si>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</si>
  <si>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</si>
  <si>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Code</t>
  </si>
  <si>
    <t>Filter and and merge data</t>
  </si>
  <si>
    <t>Thiede</t>
  </si>
  <si>
    <t>Implement defined risk eq.</t>
  </si>
  <si>
    <t>Plot maps of NRI and our risk eq.</t>
  </si>
  <si>
    <t>Abdi</t>
  </si>
  <si>
    <t>Plot bar charts to compare risk levels</t>
  </si>
  <si>
    <t>SOW</t>
  </si>
  <si>
    <t>Project goals</t>
  </si>
  <si>
    <t>all</t>
  </si>
  <si>
    <t>Project tasks</t>
  </si>
  <si>
    <t>Use 2 external sources</t>
  </si>
  <si>
    <t>Explanation of current NRI risk eq.</t>
  </si>
  <si>
    <t>Anderson</t>
  </si>
  <si>
    <t>Project deliverables</t>
  </si>
  <si>
    <t>Miscellaneous</t>
  </si>
  <si>
    <t>Develop risk equation</t>
  </si>
  <si>
    <t>Timesheet</t>
  </si>
  <si>
    <t>All</t>
  </si>
  <si>
    <t>ACD</t>
  </si>
  <si>
    <t>Gantt chart</t>
  </si>
  <si>
    <t>Report</t>
  </si>
  <si>
    <t>Introduction/background</t>
  </si>
  <si>
    <t>Methods</t>
  </si>
  <si>
    <t>Compare risk eq's</t>
  </si>
  <si>
    <t>Compare risk eq's reults</t>
  </si>
  <si>
    <t>References</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</si>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</sst>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8"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1"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05">
    <xf numFmtId="0" fontId="0" fillId="0" borderId="0" xfId="0"/>
    <xf numFmtId="0" fontId="1" fillId="0" borderId="0" xfId="0" applyFont="1"/>
    <xf numFmtId="0" fontId="0" fillId="0" borderId="0" xfId="0" applyAlignment="1">
      <alignment horizontal="center"/>
    </xf>
    <xf numFmtId="0" fontId="3" fillId="0" borderId="1" xfId="0" applyFont="1" applyBorder="1" applyAlignment="1">
      <alignment horizontal="center" vertical="center"/>
    </xf>
    <xf numFmtId="0" fontId="1" fillId="0" borderId="0" xfId="0" applyFont="1" applyAlignment="1">
      <alignment vertical="top"/>
    </xf>
    <xf numFmtId="0" fontId="7" fillId="0" borderId="0" xfId="0" applyFont="1" applyAlignment="1">
      <alignment horizontal="left" vertical="center"/>
    </xf>
    <xf numFmtId="0" fontId="8" fillId="0" borderId="0" xfId="0" applyFont="1" applyAlignment="1">
      <alignment horizontal="left" vertical="center"/>
    </xf>
    <xf numFmtId="0" fontId="10" fillId="0" borderId="0" xfId="0" applyFont="1"/>
    <xf numFmtId="0" fontId="1" fillId="0" borderId="0" xfId="0" applyFont="1" applyAlignment="1">
      <alignment horizontal="left" vertical="top"/>
    </xf>
    <xf numFmtId="0" fontId="9" fillId="0" borderId="0" xfId="0" applyFont="1" applyAlignment="1">
      <alignment vertical="top"/>
    </xf>
    <xf numFmtId="0" fontId="11" fillId="0" borderId="0" xfId="3"/>
    <xf numFmtId="0" fontId="11" fillId="0" borderId="0" xfId="3" applyAlignment="1">
      <alignment wrapText="1"/>
    </xf>
    <xf numFmtId="0" fontId="3" fillId="0" borderId="0" xfId="0" applyFont="1" applyAlignment="1">
      <alignment horizontal="center" vertical="center"/>
    </xf>
    <xf numFmtId="0" fontId="13" fillId="0" borderId="0" xfId="0"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center"/>
    </xf>
    <xf numFmtId="0" fontId="14" fillId="0" borderId="0" xfId="0" applyFont="1"/>
    <xf numFmtId="0" fontId="14" fillId="0" borderId="0" xfId="0" applyFont="1" applyAlignment="1">
      <alignment horizontal="center"/>
    </xf>
    <xf numFmtId="0" fontId="15" fillId="0" borderId="0" xfId="0" applyFont="1"/>
    <xf numFmtId="0" fontId="16"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19" fillId="12" borderId="20" xfId="0" applyNumberFormat="1" applyFont="1" applyFill="1" applyBorder="1" applyAlignment="1">
      <alignment horizontal="center" vertical="center"/>
    </xf>
    <xf numFmtId="167" fontId="19" fillId="12" borderId="18" xfId="0" applyNumberFormat="1" applyFont="1" applyFill="1" applyBorder="1" applyAlignment="1">
      <alignment horizontal="center" vertical="center"/>
    </xf>
    <xf numFmtId="167" fontId="19" fillId="12" borderId="19" xfId="0" applyNumberFormat="1" applyFont="1" applyFill="1" applyBorder="1" applyAlignment="1">
      <alignment horizontal="center" vertical="center"/>
    </xf>
    <xf numFmtId="0" fontId="20" fillId="2" borderId="17" xfId="0" applyFont="1" applyFill="1" applyBorder="1" applyAlignment="1">
      <alignment horizontal="center" vertical="center" shrinkToFit="1"/>
    </xf>
    <xf numFmtId="0" fontId="20" fillId="2" borderId="14" xfId="0" applyFont="1" applyFill="1" applyBorder="1" applyAlignment="1">
      <alignment horizontal="center" vertical="center" shrinkToFit="1"/>
    </xf>
    <xf numFmtId="0" fontId="20" fillId="2" borderId="15" xfId="0" applyFont="1" applyFill="1" applyBorder="1" applyAlignment="1">
      <alignment horizontal="center" vertical="center" shrinkToFit="1"/>
    </xf>
    <xf numFmtId="0" fontId="17" fillId="0" borderId="0" xfId="0" applyFont="1"/>
    <xf numFmtId="0" fontId="17" fillId="0" borderId="0" xfId="0" applyFont="1" applyAlignment="1">
      <alignment wrapText="1"/>
    </xf>
    <xf numFmtId="0" fontId="4" fillId="0" borderId="3" xfId="0" applyFont="1" applyBorder="1" applyAlignment="1">
      <alignment vertical="center"/>
    </xf>
    <xf numFmtId="0" fontId="21" fillId="6" borderId="0" xfId="0" applyFont="1" applyFill="1" applyAlignment="1">
      <alignment horizontal="left" vertical="center" indent="1"/>
    </xf>
    <xf numFmtId="0" fontId="17" fillId="6" borderId="0" xfId="11" applyFont="1" applyFill="1" applyBorder="1" applyAlignment="1">
      <alignment vertical="center"/>
    </xf>
    <xf numFmtId="9" fontId="1" fillId="6" borderId="0" xfId="2" applyFont="1" applyFill="1" applyBorder="1" applyAlignment="1">
      <alignment horizontal="center" vertical="center"/>
    </xf>
    <xf numFmtId="164" fontId="17"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7" fillId="3" borderId="6" xfId="12" applyFont="1" applyFill="1" applyBorder="1">
      <alignment horizontal="left" vertical="center" indent="2"/>
    </xf>
    <xf numFmtId="0" fontId="17" fillId="3" borderId="6" xfId="11" applyFont="1" applyFill="1" applyBorder="1" applyAlignment="1">
      <alignment vertical="center"/>
    </xf>
    <xf numFmtId="9" fontId="1" fillId="3" borderId="6" xfId="2" applyFont="1" applyFill="1" applyBorder="1" applyAlignment="1">
      <alignment horizontal="center" vertical="center"/>
    </xf>
    <xf numFmtId="164" fontId="17" fillId="3" borderId="6" xfId="10" applyFont="1" applyFill="1" applyBorder="1">
      <alignment horizontal="center" vertical="center"/>
    </xf>
    <xf numFmtId="0" fontId="4" fillId="0" borderId="4" xfId="0" applyFont="1" applyBorder="1" applyAlignment="1">
      <alignment vertical="center"/>
    </xf>
    <xf numFmtId="0" fontId="17" fillId="3" borderId="7" xfId="12" applyFont="1" applyFill="1" applyBorder="1">
      <alignment horizontal="left" vertical="center" indent="2"/>
    </xf>
    <xf numFmtId="0" fontId="17" fillId="3" borderId="7" xfId="11" applyFont="1" applyFill="1" applyBorder="1" applyAlignment="1">
      <alignment vertical="center"/>
    </xf>
    <xf numFmtId="9" fontId="1" fillId="3" borderId="7" xfId="2" applyFont="1" applyFill="1" applyBorder="1" applyAlignment="1">
      <alignment horizontal="center" vertical="center"/>
    </xf>
    <xf numFmtId="164" fontId="17" fillId="3" borderId="7" xfId="10" applyFont="1" applyFill="1" applyBorder="1">
      <alignment horizontal="center" vertical="center"/>
    </xf>
    <xf numFmtId="0" fontId="4" fillId="0" borderId="4" xfId="0" applyFont="1" applyBorder="1" applyAlignment="1">
      <alignment horizontal="right" vertical="center"/>
    </xf>
    <xf numFmtId="0" fontId="21" fillId="7" borderId="0" xfId="0" applyFont="1" applyFill="1" applyAlignment="1">
      <alignment horizontal="left" vertical="center" indent="1"/>
    </xf>
    <xf numFmtId="0" fontId="17" fillId="7" borderId="0" xfId="11" applyFont="1" applyFill="1" applyBorder="1" applyAlignment="1">
      <alignment vertical="center"/>
    </xf>
    <xf numFmtId="9" fontId="1" fillId="7" borderId="0" xfId="2" applyFont="1" applyFill="1" applyBorder="1" applyAlignment="1">
      <alignment horizontal="center" vertical="center"/>
    </xf>
    <xf numFmtId="164" fontId="17"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7" fillId="4" borderId="5" xfId="12" applyFont="1" applyFill="1" applyBorder="1">
      <alignment horizontal="left" vertical="center" indent="2"/>
    </xf>
    <xf numFmtId="0" fontId="17" fillId="4" borderId="5" xfId="11" applyFont="1" applyFill="1" applyBorder="1" applyAlignment="1">
      <alignment vertical="center"/>
    </xf>
    <xf numFmtId="9" fontId="1" fillId="4" borderId="5" xfId="2" applyFont="1" applyFill="1" applyBorder="1" applyAlignment="1">
      <alignment horizontal="center" vertical="center"/>
    </xf>
    <xf numFmtId="164" fontId="17" fillId="4" borderId="5" xfId="10" applyFont="1" applyFill="1" applyBorder="1">
      <alignment horizontal="center" vertical="center"/>
    </xf>
    <xf numFmtId="0" fontId="21" fillId="8" borderId="0" xfId="0" applyFont="1" applyFill="1" applyAlignment="1">
      <alignment horizontal="left" vertical="center" indent="1"/>
    </xf>
    <xf numFmtId="0" fontId="17" fillId="8" borderId="0" xfId="11" applyFont="1" applyFill="1" applyBorder="1" applyAlignment="1">
      <alignment vertical="center"/>
    </xf>
    <xf numFmtId="9" fontId="1" fillId="8" borderId="0" xfId="2" applyFont="1" applyFill="1" applyBorder="1" applyAlignment="1">
      <alignment horizontal="center" vertical="center"/>
    </xf>
    <xf numFmtId="164" fontId="17"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1" xfId="0" applyFont="1" applyBorder="1" applyAlignment="1">
      <alignment vertical="center"/>
    </xf>
    <xf numFmtId="0" fontId="17" fillId="5" borderId="8" xfId="12" applyFont="1" applyFill="1" applyBorder="1">
      <alignment horizontal="left" vertical="center" indent="2"/>
    </xf>
    <xf numFmtId="0" fontId="17" fillId="5" borderId="8" xfId="11" applyFont="1" applyFill="1" applyBorder="1" applyAlignment="1">
      <alignment vertical="center"/>
    </xf>
    <xf numFmtId="9" fontId="1" fillId="5" borderId="8" xfId="2" applyFont="1" applyFill="1" applyBorder="1" applyAlignment="1">
      <alignment horizontal="center" vertical="center"/>
    </xf>
    <xf numFmtId="164" fontId="17" fillId="5" borderId="8" xfId="10" applyFont="1" applyFill="1" applyBorder="1">
      <alignment horizontal="center" vertical="center"/>
    </xf>
    <xf numFmtId="0" fontId="21" fillId="9" borderId="0" xfId="0" applyFont="1" applyFill="1" applyAlignment="1">
      <alignment horizontal="left" vertical="center" indent="1"/>
    </xf>
    <xf numFmtId="0" fontId="17" fillId="9" borderId="0" xfId="11" applyFont="1" applyFill="1" applyBorder="1" applyAlignment="1">
      <alignment vertical="center"/>
    </xf>
    <xf numFmtId="9" fontId="1" fillId="9" borderId="0" xfId="2" applyFont="1" applyFill="1" applyBorder="1" applyAlignment="1">
      <alignment horizontal="center" vertical="center"/>
    </xf>
    <xf numFmtId="164" fontId="17"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4" fillId="0" borderId="10" xfId="0" applyFont="1" applyBorder="1" applyAlignment="1">
      <alignment vertical="center"/>
    </xf>
    <xf numFmtId="0" fontId="17" fillId="10" borderId="9" xfId="12" applyFont="1" applyFill="1" applyBorder="1">
      <alignment horizontal="left" vertical="center" indent="2"/>
    </xf>
    <xf numFmtId="0" fontId="17" fillId="10" borderId="9" xfId="11" applyFont="1" applyFill="1" applyBorder="1" applyAlignment="1">
      <alignment vertical="center"/>
    </xf>
    <xf numFmtId="9" fontId="1" fillId="10" borderId="9" xfId="2" applyFont="1" applyFill="1" applyBorder="1" applyAlignment="1">
      <alignment horizontal="center" vertical="center"/>
    </xf>
    <xf numFmtId="164" fontId="17" fillId="10" borderId="9" xfId="10" applyFont="1" applyFill="1" applyBorder="1">
      <alignment horizontal="center" vertical="center"/>
    </xf>
    <xf numFmtId="0" fontId="22" fillId="0" borderId="0" xfId="6" applyFont="1" applyAlignment="1">
      <alignment horizontal="left" vertical="center" indent="1"/>
    </xf>
    <xf numFmtId="0" fontId="22" fillId="0" borderId="0" xfId="7" applyFont="1" applyAlignment="1">
      <alignment horizontal="left" vertical="center" indent="1"/>
    </xf>
    <xf numFmtId="0" fontId="25" fillId="0" borderId="0" xfId="5" applyFont="1" applyAlignment="1">
      <alignment horizontal="left"/>
    </xf>
    <xf numFmtId="0" fontId="7" fillId="0" borderId="0" xfId="0" applyFont="1" applyAlignment="1">
      <alignment horizontal="left" vertical="center" indent="1"/>
    </xf>
    <xf numFmtId="0" fontId="3" fillId="0" borderId="0" xfId="0" applyFont="1" applyAlignment="1">
      <alignment horizontal="left" vertical="top" indent="1"/>
    </xf>
    <xf numFmtId="0" fontId="22" fillId="0" borderId="0" xfId="0" applyFont="1" applyAlignment="1">
      <alignment horizontal="left" vertical="center" indent="1"/>
    </xf>
    <xf numFmtId="0" fontId="26" fillId="0" borderId="0" xfId="0" applyFont="1" applyAlignment="1">
      <alignment horizontal="left" vertical="top" wrapText="1" indent="1"/>
    </xf>
    <xf numFmtId="0" fontId="0" fillId="0" borderId="0" xfId="0" applyAlignment="1">
      <alignment horizontal="left" vertical="top" wrapText="1" indent="1"/>
    </xf>
    <xf numFmtId="0" fontId="27" fillId="0" borderId="0" xfId="1" applyFont="1" applyAlignment="1" applyProtection="1">
      <alignment horizontal="left" vertical="top" indent="1"/>
    </xf>
    <xf numFmtId="0" fontId="1" fillId="0" borderId="0" xfId="0" applyFont="1" applyAlignment="1">
      <alignment horizontal="left" vertical="top" indent="1"/>
    </xf>
    <xf numFmtId="0" fontId="11" fillId="0" borderId="0" xfId="3" applyAlignment="1">
      <alignment wrapText="1"/>
    </xf>
    <xf numFmtId="0" fontId="18"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18" fillId="11" borderId="16" xfId="0" applyFont="1" applyFill="1" applyBorder="1" applyAlignment="1">
      <alignment vertical="center"/>
    </xf>
    <xf numFmtId="0" fontId="4" fillId="2" borderId="21" xfId="0" applyFont="1" applyFill="1" applyBorder="1"/>
    <xf numFmtId="0" fontId="18" fillId="11" borderId="16" xfId="0" applyFont="1" applyFill="1" applyBorder="1" applyAlignment="1">
      <alignment horizontal="center" vertical="center"/>
    </xf>
    <xf numFmtId="0" fontId="23" fillId="0" borderId="0" xfId="0" applyFont="1" applyAlignment="1">
      <alignment horizontal="left"/>
    </xf>
    <xf numFmtId="0" fontId="24" fillId="0" borderId="0" xfId="0" applyFont="1"/>
    <xf numFmtId="165" fontId="23" fillId="0" borderId="0" xfId="9" applyFont="1" applyBorder="1" applyAlignment="1">
      <alignment horizontal="left"/>
    </xf>
    <xf numFmtId="0" fontId="22" fillId="0" borderId="0" xfId="8" applyFont="1" applyAlignment="1">
      <alignment horizontal="left"/>
    </xf>
    <xf numFmtId="0" fontId="4" fillId="0" borderId="0" xfId="0" applyFont="1"/>
    <xf numFmtId="166" fontId="17" fillId="2" borderId="13" xfId="0" applyNumberFormat="1" applyFont="1" applyFill="1" applyBorder="1" applyAlignment="1">
      <alignment horizontal="center" vertical="center" wrapText="1"/>
    </xf>
    <xf numFmtId="166" fontId="17" fillId="2" borderId="19" xfId="0" applyNumberFormat="1" applyFont="1" applyFill="1" applyBorder="1" applyAlignment="1">
      <alignment horizontal="center" vertical="center" wrapText="1"/>
    </xf>
    <xf numFmtId="166" fontId="17" fillId="2" borderId="18" xfId="0" applyNumberFormat="1" applyFont="1" applyFill="1" applyBorder="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29</xdr:col>
      <xdr:colOff>50800</xdr:colOff>
      <xdr:row>0</xdr:row>
      <xdr:rowOff>419100</xdr:rowOff>
    </xdr:from>
    <xdr:to>
      <xdr:col>33</xdr:col>
      <xdr:colOff>151052</xdr:colOff>
      <xdr:row>1</xdr:row>
      <xdr:rowOff>194411</xdr:rowOff>
    </xdr:to>
    <xdr:pic>
      <xdr:nvPicPr>
        <xdr:cNvPr id="2" name="Graphic 1" descr="Badge 1 with solid fill">
          <a:extLst>
            <a:ext uri="{FF2B5EF4-FFF2-40B4-BE49-F238E27FC236}">
              <a16:creationId xmlns:a16="http://schemas.microsoft.com/office/drawing/2014/main" id="{F6225D3A-45EC-FB42-84BD-DBF8236D5EB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60000" y="419100"/>
          <a:ext cx="913052" cy="918311"/>
        </a:xfrm>
        <a:prstGeom prst="rect">
          <a:avLst/>
        </a:prstGeom>
      </xdr:spPr>
    </xdr:pic>
    <xdr:clientData/>
  </xdr:twoCellAnchor>
  <xdr:twoCellAnchor editAs="oneCell">
    <xdr:from>
      <xdr:col>47</xdr:col>
      <xdr:colOff>63500</xdr:colOff>
      <xdr:row>0</xdr:row>
      <xdr:rowOff>419100</xdr:rowOff>
    </xdr:from>
    <xdr:to>
      <xdr:col>51</xdr:col>
      <xdr:colOff>163750</xdr:colOff>
      <xdr:row>1</xdr:row>
      <xdr:rowOff>194411</xdr:rowOff>
    </xdr:to>
    <xdr:pic>
      <xdr:nvPicPr>
        <xdr:cNvPr id="3" name="Graphic 2" descr="Badge 1 outline">
          <a:extLst>
            <a:ext uri="{FF2B5EF4-FFF2-40B4-BE49-F238E27FC236}">
              <a16:creationId xmlns:a16="http://schemas.microsoft.com/office/drawing/2014/main" id="{2F5A5603-816B-CA42-AAAC-6F54E3E5E46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830300" y="419100"/>
          <a:ext cx="913050" cy="918311"/>
        </a:xfrm>
        <a:prstGeom prst="rect">
          <a:avLst/>
        </a:prstGeom>
      </xdr:spPr>
    </xdr:pic>
    <xdr:clientData/>
  </xdr:twoCellAnchor>
  <xdr:twoCellAnchor editAs="oneCell">
    <xdr:from>
      <xdr:col>1</xdr:col>
      <xdr:colOff>723900</xdr:colOff>
      <xdr:row>22</xdr:row>
      <xdr:rowOff>38100</xdr:rowOff>
    </xdr:from>
    <xdr:to>
      <xdr:col>1</xdr:col>
      <xdr:colOff>1007318</xdr:colOff>
      <xdr:row>22</xdr:row>
      <xdr:rowOff>317500</xdr:rowOff>
    </xdr:to>
    <xdr:pic>
      <xdr:nvPicPr>
        <xdr:cNvPr id="4" name="Graphic 3" descr="Badge 1 with solid fill">
          <a:extLst>
            <a:ext uri="{FF2B5EF4-FFF2-40B4-BE49-F238E27FC236}">
              <a16:creationId xmlns:a16="http://schemas.microsoft.com/office/drawing/2014/main" id="{A3ADFEA5-9636-FC46-9A22-41FE6D6D9A0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7100" y="8420100"/>
          <a:ext cx="283418" cy="279400"/>
        </a:xfrm>
        <a:prstGeom prst="rect">
          <a:avLst/>
        </a:prstGeom>
      </xdr:spPr>
    </xdr:pic>
    <xdr:clientData/>
  </xdr:twoCellAnchor>
  <xdr:twoCellAnchor editAs="oneCell">
    <xdr:from>
      <xdr:col>1</xdr:col>
      <xdr:colOff>546101</xdr:colOff>
      <xdr:row>5</xdr:row>
      <xdr:rowOff>152400</xdr:rowOff>
    </xdr:from>
    <xdr:to>
      <xdr:col>1</xdr:col>
      <xdr:colOff>988441</xdr:colOff>
      <xdr:row>8</xdr:row>
      <xdr:rowOff>25400</xdr:rowOff>
    </xdr:to>
    <xdr:pic>
      <xdr:nvPicPr>
        <xdr:cNvPr id="5" name="Graphic 4" descr="Badge 1 outline">
          <a:extLst>
            <a:ext uri="{FF2B5EF4-FFF2-40B4-BE49-F238E27FC236}">
              <a16:creationId xmlns:a16="http://schemas.microsoft.com/office/drawing/2014/main" id="{04277FA3-2460-9B44-B698-2E29607F675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9301" y="2628900"/>
          <a:ext cx="442340" cy="444500"/>
        </a:xfrm>
        <a:prstGeom prst="rect">
          <a:avLst/>
        </a:prstGeom>
      </xdr:spPr>
    </xdr:pic>
    <xdr:clientData/>
  </xdr:twoCellAnchor>
  <xdr:twoCellAnchor editAs="oneCell">
    <xdr:from>
      <xdr:col>1</xdr:col>
      <xdr:colOff>1562100</xdr:colOff>
      <xdr:row>20</xdr:row>
      <xdr:rowOff>12701</xdr:rowOff>
    </xdr:from>
    <xdr:to>
      <xdr:col>1</xdr:col>
      <xdr:colOff>1959539</xdr:colOff>
      <xdr:row>21</xdr:row>
      <xdr:rowOff>38101</xdr:rowOff>
    </xdr:to>
    <xdr:pic>
      <xdr:nvPicPr>
        <xdr:cNvPr id="6" name="Graphic 5" descr="Badge outline">
          <a:extLst>
            <a:ext uri="{FF2B5EF4-FFF2-40B4-BE49-F238E27FC236}">
              <a16:creationId xmlns:a16="http://schemas.microsoft.com/office/drawing/2014/main" id="{07BC6FB4-30D4-3B4C-82A7-3A13DEBAEE9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765300" y="7632701"/>
          <a:ext cx="400614" cy="406400"/>
        </a:xfrm>
        <a:prstGeom prst="rect">
          <a:avLst/>
        </a:prstGeom>
      </xdr:spPr>
    </xdr:pic>
    <xdr:clientData/>
  </xdr:twoCellAnchor>
  <xdr:twoCellAnchor editAs="oneCell">
    <xdr:from>
      <xdr:col>1</xdr:col>
      <xdr:colOff>1819275</xdr:colOff>
      <xdr:row>9</xdr:row>
      <xdr:rowOff>38101</xdr:rowOff>
    </xdr:from>
    <xdr:to>
      <xdr:col>1</xdr:col>
      <xdr:colOff>2183399</xdr:colOff>
      <xdr:row>10</xdr:row>
      <xdr:rowOff>25401</xdr:rowOff>
    </xdr:to>
    <xdr:pic>
      <xdr:nvPicPr>
        <xdr:cNvPr id="7" name="Graphic 6" descr="Badge with solid fill">
          <a:extLst>
            <a:ext uri="{FF2B5EF4-FFF2-40B4-BE49-F238E27FC236}">
              <a16:creationId xmlns:a16="http://schemas.microsoft.com/office/drawing/2014/main" id="{E2D2D73D-84FE-7040-B7F6-C72C65836687}"/>
            </a:ext>
            <a:ext uri="{147F2762-F138-4A5C-976F-8EAC2B608ADB}">
              <a16:predDERef xmlns:a16="http://schemas.microsoft.com/office/drawing/2014/main" pred="{07BC6FB4-30D4-3B4C-82A7-3A13DEBAEE9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019300" y="3467101"/>
          <a:ext cx="364124" cy="368300"/>
        </a:xfrm>
        <a:prstGeom prst="rect">
          <a:avLst/>
        </a:prstGeom>
      </xdr:spPr>
    </xdr:pic>
    <xdr:clientData/>
  </xdr:twoCellAnchor>
  <xdr:twoCellAnchor editAs="oneCell">
    <xdr:from>
      <xdr:col>1</xdr:col>
      <xdr:colOff>1003300</xdr:colOff>
      <xdr:row>5</xdr:row>
      <xdr:rowOff>165100</xdr:rowOff>
    </xdr:from>
    <xdr:to>
      <xdr:col>1</xdr:col>
      <xdr:colOff>1422400</xdr:colOff>
      <xdr:row>8</xdr:row>
      <xdr:rowOff>12700</xdr:rowOff>
    </xdr:to>
    <xdr:pic>
      <xdr:nvPicPr>
        <xdr:cNvPr id="8" name="Graphic 7" descr="Badge 3 outline">
          <a:extLst>
            <a:ext uri="{FF2B5EF4-FFF2-40B4-BE49-F238E27FC236}">
              <a16:creationId xmlns:a16="http://schemas.microsoft.com/office/drawing/2014/main" id="{1132BB6C-792C-6544-933E-6735412AB21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206500" y="2641600"/>
          <a:ext cx="419100" cy="419100"/>
        </a:xfrm>
        <a:prstGeom prst="rect">
          <a:avLst/>
        </a:prstGeom>
      </xdr:spPr>
    </xdr:pic>
    <xdr:clientData/>
  </xdr:twoCellAnchor>
  <xdr:twoCellAnchor editAs="oneCell">
    <xdr:from>
      <xdr:col>1</xdr:col>
      <xdr:colOff>736600</xdr:colOff>
      <xdr:row>25</xdr:row>
      <xdr:rowOff>12700</xdr:rowOff>
    </xdr:from>
    <xdr:to>
      <xdr:col>1</xdr:col>
      <xdr:colOff>1175759</xdr:colOff>
      <xdr:row>26</xdr:row>
      <xdr:rowOff>70859</xdr:rowOff>
    </xdr:to>
    <xdr:pic>
      <xdr:nvPicPr>
        <xdr:cNvPr id="9" name="Graphic 8" descr="Badge 3 with solid fill">
          <a:extLst>
            <a:ext uri="{FF2B5EF4-FFF2-40B4-BE49-F238E27FC236}">
              <a16:creationId xmlns:a16="http://schemas.microsoft.com/office/drawing/2014/main" id="{C3A59D1E-937A-0B48-ABD3-852A6A6865F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39800" y="9537700"/>
          <a:ext cx="439159" cy="43915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3"/>
  <sheetViews>
    <sheetView showGridLines="0" tabSelected="1" showRuler="0" zoomScaleNormal="100" zoomScalePageLayoutView="70" workbookViewId="0">
      <selection activeCell="C11" sqref="C11"/>
    </sheetView>
  </sheetViews>
  <sheetFormatPr baseColWidth="10" defaultColWidth="8.6640625" defaultRowHeight="30" customHeight="1" x14ac:dyDescent="0.15"/>
  <cols>
    <col min="1" max="1" width="2.6640625" style="10" customWidth="1"/>
    <col min="2" max="2" width="32.1640625" customWidth="1"/>
    <col min="3" max="3" width="16.6640625" customWidth="1"/>
    <col min="4" max="4" width="10.6640625" customWidth="1"/>
    <col min="5" max="5" width="10.6640625" style="2" customWidth="1"/>
    <col min="6" max="6" width="10.6640625" customWidth="1"/>
    <col min="7" max="7" width="2.6640625" customWidth="1"/>
    <col min="8" max="8" width="6" hidden="1" customWidth="1"/>
    <col min="9" max="65" width="2.6640625" customWidth="1"/>
  </cols>
  <sheetData>
    <row r="1" spans="1:64" ht="90" customHeight="1" x14ac:dyDescent="0.85">
      <c r="A1" s="11"/>
      <c r="B1" s="83" t="s">
        <v>0</v>
      </c>
      <c r="C1" s="13"/>
      <c r="D1" s="14"/>
      <c r="E1" s="15"/>
      <c r="F1" s="16"/>
      <c r="H1" s="1"/>
      <c r="I1" s="100" t="s">
        <v>1</v>
      </c>
      <c r="J1" s="101"/>
      <c r="K1" s="101"/>
      <c r="L1" s="101"/>
      <c r="M1" s="101"/>
      <c r="N1" s="101"/>
      <c r="O1" s="101"/>
      <c r="P1" s="19"/>
      <c r="Q1" s="99">
        <v>46115</v>
      </c>
      <c r="R1" s="98"/>
      <c r="S1" s="98"/>
      <c r="T1" s="98"/>
      <c r="U1" s="98"/>
      <c r="V1" s="98"/>
      <c r="W1" s="98"/>
      <c r="X1" s="98"/>
      <c r="Y1" s="98"/>
      <c r="Z1" s="98"/>
      <c r="AI1" t="s">
        <v>2</v>
      </c>
      <c r="BA1" t="s">
        <v>3</v>
      </c>
    </row>
    <row r="2" spans="1:64" ht="30" customHeight="1" x14ac:dyDescent="0.4">
      <c r="B2" s="81" t="s">
        <v>4</v>
      </c>
      <c r="C2" s="82"/>
      <c r="D2" s="17"/>
      <c r="E2" s="18"/>
      <c r="F2" s="17"/>
      <c r="I2" s="100" t="s">
        <v>5</v>
      </c>
      <c r="J2" s="101"/>
      <c r="K2" s="101"/>
      <c r="L2" s="101"/>
      <c r="M2" s="101"/>
      <c r="N2" s="101"/>
      <c r="O2" s="101"/>
      <c r="P2" s="19"/>
      <c r="Q2" s="97">
        <v>1</v>
      </c>
      <c r="R2" s="98"/>
      <c r="S2" s="98"/>
      <c r="T2" s="98"/>
      <c r="U2" s="98"/>
      <c r="V2" s="98"/>
      <c r="W2" s="98"/>
      <c r="X2" s="98"/>
      <c r="Y2" s="98"/>
      <c r="Z2" s="98"/>
    </row>
    <row r="3" spans="1:64" s="21" customFormat="1" ht="30" customHeight="1" x14ac:dyDescent="0.15">
      <c r="A3" s="10"/>
      <c r="B3" s="20" t="s">
        <v>6</v>
      </c>
      <c r="D3" s="22"/>
      <c r="E3" s="23"/>
    </row>
    <row r="4" spans="1:64" s="21" customFormat="1" ht="30" customHeight="1" x14ac:dyDescent="0.15">
      <c r="A4" s="11"/>
      <c r="B4" s="24" t="s">
        <v>7</v>
      </c>
      <c r="E4" s="25"/>
      <c r="I4" s="104">
        <f>I5</f>
        <v>46111</v>
      </c>
      <c r="J4" s="102"/>
      <c r="K4" s="102"/>
      <c r="L4" s="102"/>
      <c r="M4" s="102"/>
      <c r="N4" s="102"/>
      <c r="O4" s="102"/>
      <c r="P4" s="102">
        <f>P5</f>
        <v>46118</v>
      </c>
      <c r="Q4" s="102"/>
      <c r="R4" s="102"/>
      <c r="S4" s="102"/>
      <c r="T4" s="102"/>
      <c r="U4" s="102"/>
      <c r="V4" s="102"/>
      <c r="W4" s="102">
        <f>W5</f>
        <v>46125</v>
      </c>
      <c r="X4" s="102"/>
      <c r="Y4" s="102"/>
      <c r="Z4" s="102"/>
      <c r="AA4" s="102"/>
      <c r="AB4" s="102"/>
      <c r="AC4" s="102"/>
      <c r="AD4" s="102">
        <f>AD5</f>
        <v>46132</v>
      </c>
      <c r="AE4" s="102"/>
      <c r="AF4" s="102"/>
      <c r="AG4" s="102"/>
      <c r="AH4" s="102"/>
      <c r="AI4" s="102"/>
      <c r="AJ4" s="102"/>
      <c r="AK4" s="102">
        <f>AK5</f>
        <v>46139</v>
      </c>
      <c r="AL4" s="102"/>
      <c r="AM4" s="102"/>
      <c r="AN4" s="102"/>
      <c r="AO4" s="102"/>
      <c r="AP4" s="102"/>
      <c r="AQ4" s="102"/>
      <c r="AR4" s="102">
        <f>AR5</f>
        <v>46146</v>
      </c>
      <c r="AS4" s="102"/>
      <c r="AT4" s="102"/>
      <c r="AU4" s="102"/>
      <c r="AV4" s="102"/>
      <c r="AW4" s="102"/>
      <c r="AX4" s="102"/>
      <c r="AY4" s="102">
        <f>AY5</f>
        <v>46153</v>
      </c>
      <c r="AZ4" s="102"/>
      <c r="BA4" s="102"/>
      <c r="BB4" s="102"/>
      <c r="BC4" s="102"/>
      <c r="BD4" s="102"/>
      <c r="BE4" s="102"/>
      <c r="BF4" s="102">
        <f>BF5</f>
        <v>46160</v>
      </c>
      <c r="BG4" s="102"/>
      <c r="BH4" s="102"/>
      <c r="BI4" s="102"/>
      <c r="BJ4" s="102"/>
      <c r="BK4" s="102"/>
      <c r="BL4" s="103"/>
    </row>
    <row r="5" spans="1:64" s="21" customFormat="1" ht="15" customHeight="1" x14ac:dyDescent="0.15">
      <c r="A5" s="91"/>
      <c r="B5" s="92" t="s">
        <v>8</v>
      </c>
      <c r="C5" s="94" t="s">
        <v>9</v>
      </c>
      <c r="D5" s="96" t="s">
        <v>10</v>
      </c>
      <c r="E5" s="96" t="s">
        <v>11</v>
      </c>
      <c r="F5" s="96" t="s">
        <v>12</v>
      </c>
      <c r="I5" s="26">
        <f>Project_Start-WEEKDAY(Project_Start,1)+2+7*(Display_Week-1)</f>
        <v>46111</v>
      </c>
      <c r="J5" s="26">
        <f>I5+1</f>
        <v>46112</v>
      </c>
      <c r="K5" s="26">
        <f t="shared" ref="K5:AX5" si="0">J5+1</f>
        <v>46113</v>
      </c>
      <c r="L5" s="26">
        <f t="shared" si="0"/>
        <v>46114</v>
      </c>
      <c r="M5" s="26">
        <f t="shared" si="0"/>
        <v>46115</v>
      </c>
      <c r="N5" s="26">
        <f t="shared" si="0"/>
        <v>46116</v>
      </c>
      <c r="O5" s="27">
        <f t="shared" si="0"/>
        <v>46117</v>
      </c>
      <c r="P5" s="28">
        <f>O5+1</f>
        <v>46118</v>
      </c>
      <c r="Q5" s="26">
        <f>P5+1</f>
        <v>46119</v>
      </c>
      <c r="R5" s="26">
        <f t="shared" si="0"/>
        <v>46120</v>
      </c>
      <c r="S5" s="26">
        <f t="shared" si="0"/>
        <v>46121</v>
      </c>
      <c r="T5" s="26">
        <f t="shared" si="0"/>
        <v>46122</v>
      </c>
      <c r="U5" s="26">
        <f t="shared" si="0"/>
        <v>46123</v>
      </c>
      <c r="V5" s="27">
        <f t="shared" si="0"/>
        <v>46124</v>
      </c>
      <c r="W5" s="28">
        <f>V5+1</f>
        <v>46125</v>
      </c>
      <c r="X5" s="26">
        <f>W5+1</f>
        <v>46126</v>
      </c>
      <c r="Y5" s="26">
        <f t="shared" si="0"/>
        <v>46127</v>
      </c>
      <c r="Z5" s="26">
        <f t="shared" si="0"/>
        <v>46128</v>
      </c>
      <c r="AA5" s="26">
        <f t="shared" si="0"/>
        <v>46129</v>
      </c>
      <c r="AB5" s="26">
        <f t="shared" si="0"/>
        <v>46130</v>
      </c>
      <c r="AC5" s="27">
        <f t="shared" si="0"/>
        <v>46131</v>
      </c>
      <c r="AD5" s="28">
        <f>AC5+1</f>
        <v>46132</v>
      </c>
      <c r="AE5" s="26">
        <f>AD5+1</f>
        <v>46133</v>
      </c>
      <c r="AF5" s="26">
        <f t="shared" si="0"/>
        <v>46134</v>
      </c>
      <c r="AG5" s="26">
        <f t="shared" si="0"/>
        <v>46135</v>
      </c>
      <c r="AH5" s="26">
        <f t="shared" si="0"/>
        <v>46136</v>
      </c>
      <c r="AI5" s="26">
        <f t="shared" si="0"/>
        <v>46137</v>
      </c>
      <c r="AJ5" s="27">
        <f t="shared" si="0"/>
        <v>46138</v>
      </c>
      <c r="AK5" s="28">
        <f>AJ5+1</f>
        <v>46139</v>
      </c>
      <c r="AL5" s="26">
        <f>AK5+1</f>
        <v>46140</v>
      </c>
      <c r="AM5" s="26">
        <f t="shared" si="0"/>
        <v>46141</v>
      </c>
      <c r="AN5" s="26">
        <f t="shared" si="0"/>
        <v>46142</v>
      </c>
      <c r="AO5" s="26">
        <f t="shared" si="0"/>
        <v>46143</v>
      </c>
      <c r="AP5" s="26">
        <f t="shared" si="0"/>
        <v>46144</v>
      </c>
      <c r="AQ5" s="27">
        <f t="shared" si="0"/>
        <v>46145</v>
      </c>
      <c r="AR5" s="28">
        <f>AQ5+1</f>
        <v>46146</v>
      </c>
      <c r="AS5" s="26">
        <f>AR5+1</f>
        <v>46147</v>
      </c>
      <c r="AT5" s="26">
        <f t="shared" si="0"/>
        <v>46148</v>
      </c>
      <c r="AU5" s="26">
        <f t="shared" si="0"/>
        <v>46149</v>
      </c>
      <c r="AV5" s="26">
        <f t="shared" si="0"/>
        <v>46150</v>
      </c>
      <c r="AW5" s="26">
        <f t="shared" si="0"/>
        <v>46151</v>
      </c>
      <c r="AX5" s="27">
        <f t="shared" si="0"/>
        <v>46152</v>
      </c>
      <c r="AY5" s="28">
        <f>AX5+1</f>
        <v>46153</v>
      </c>
      <c r="AZ5" s="26">
        <f>AY5+1</f>
        <v>46154</v>
      </c>
      <c r="BA5" s="26">
        <f t="shared" ref="BA5:BE5" si="1">AZ5+1</f>
        <v>46155</v>
      </c>
      <c r="BB5" s="26">
        <f t="shared" si="1"/>
        <v>46156</v>
      </c>
      <c r="BC5" s="26">
        <f t="shared" si="1"/>
        <v>46157</v>
      </c>
      <c r="BD5" s="26">
        <f t="shared" si="1"/>
        <v>46158</v>
      </c>
      <c r="BE5" s="27">
        <f t="shared" si="1"/>
        <v>46159</v>
      </c>
      <c r="BF5" s="28">
        <f>BE5+1</f>
        <v>46160</v>
      </c>
      <c r="BG5" s="26">
        <f>BF5+1</f>
        <v>46161</v>
      </c>
      <c r="BH5" s="26">
        <f t="shared" ref="BH5:BL5" si="2">BG5+1</f>
        <v>46162</v>
      </c>
      <c r="BI5" s="26">
        <f t="shared" si="2"/>
        <v>46163</v>
      </c>
      <c r="BJ5" s="26">
        <f t="shared" si="2"/>
        <v>46164</v>
      </c>
      <c r="BK5" s="26">
        <f t="shared" si="2"/>
        <v>46165</v>
      </c>
      <c r="BL5" s="26">
        <f t="shared" si="2"/>
        <v>46166</v>
      </c>
    </row>
    <row r="6" spans="1:64" s="21" customFormat="1" ht="15" customHeight="1" thickBot="1" x14ac:dyDescent="0.2">
      <c r="A6" s="91"/>
      <c r="B6" s="93"/>
      <c r="C6" s="95"/>
      <c r="D6" s="95"/>
      <c r="E6" s="95"/>
      <c r="F6" s="95"/>
      <c r="I6" s="29" t="str">
        <f t="shared" ref="I6:AN6" si="3">LEFT(TEXT(I5,"ddd"),1)</f>
        <v>M</v>
      </c>
      <c r="J6" s="30" t="str">
        <f t="shared" si="3"/>
        <v>T</v>
      </c>
      <c r="K6" s="30" t="str">
        <f t="shared" si="3"/>
        <v>W</v>
      </c>
      <c r="L6" s="30" t="str">
        <f t="shared" si="3"/>
        <v>T</v>
      </c>
      <c r="M6" s="30" t="str">
        <f t="shared" si="3"/>
        <v>F</v>
      </c>
      <c r="N6" s="30" t="str">
        <f t="shared" si="3"/>
        <v>S</v>
      </c>
      <c r="O6" s="30" t="str">
        <f t="shared" si="3"/>
        <v>S</v>
      </c>
      <c r="P6" s="30" t="str">
        <f t="shared" si="3"/>
        <v>M</v>
      </c>
      <c r="Q6" s="30" t="str">
        <f t="shared" si="3"/>
        <v>T</v>
      </c>
      <c r="R6" s="30" t="str">
        <f t="shared" si="3"/>
        <v>W</v>
      </c>
      <c r="S6" s="30" t="str">
        <f t="shared" si="3"/>
        <v>T</v>
      </c>
      <c r="T6" s="30" t="str">
        <f t="shared" si="3"/>
        <v>F</v>
      </c>
      <c r="U6" s="30" t="str">
        <f t="shared" si="3"/>
        <v>S</v>
      </c>
      <c r="V6" s="30" t="str">
        <f t="shared" si="3"/>
        <v>S</v>
      </c>
      <c r="W6" s="30" t="str">
        <f t="shared" si="3"/>
        <v>M</v>
      </c>
      <c r="X6" s="30" t="str">
        <f t="shared" si="3"/>
        <v>T</v>
      </c>
      <c r="Y6" s="30" t="str">
        <f t="shared" si="3"/>
        <v>W</v>
      </c>
      <c r="Z6" s="30" t="str">
        <f t="shared" si="3"/>
        <v>T</v>
      </c>
      <c r="AA6" s="30" t="str">
        <f t="shared" si="3"/>
        <v>F</v>
      </c>
      <c r="AB6" s="30" t="str">
        <f t="shared" si="3"/>
        <v>S</v>
      </c>
      <c r="AC6" s="30" t="str">
        <f t="shared" si="3"/>
        <v>S</v>
      </c>
      <c r="AD6" s="30" t="str">
        <f t="shared" si="3"/>
        <v>M</v>
      </c>
      <c r="AE6" s="30" t="str">
        <f t="shared" si="3"/>
        <v>T</v>
      </c>
      <c r="AF6" s="30" t="str">
        <f t="shared" si="3"/>
        <v>W</v>
      </c>
      <c r="AG6" s="30" t="str">
        <f t="shared" si="3"/>
        <v>T</v>
      </c>
      <c r="AH6" s="30" t="str">
        <f t="shared" si="3"/>
        <v>F</v>
      </c>
      <c r="AI6" s="30" t="str">
        <f t="shared" si="3"/>
        <v>S</v>
      </c>
      <c r="AJ6" s="30" t="str">
        <f t="shared" si="3"/>
        <v>S</v>
      </c>
      <c r="AK6" s="30" t="str">
        <f t="shared" si="3"/>
        <v>M</v>
      </c>
      <c r="AL6" s="30" t="str">
        <f t="shared" si="3"/>
        <v>T</v>
      </c>
      <c r="AM6" s="30" t="str">
        <f t="shared" si="3"/>
        <v>W</v>
      </c>
      <c r="AN6" s="30" t="str">
        <f t="shared" si="3"/>
        <v>T</v>
      </c>
      <c r="AO6" s="30" t="str">
        <f t="shared" ref="AO6:BL6" si="4">LEFT(TEXT(AO5,"ddd"),1)</f>
        <v>F</v>
      </c>
      <c r="AP6" s="30" t="str">
        <f t="shared" si="4"/>
        <v>S</v>
      </c>
      <c r="AQ6" s="30" t="str">
        <f t="shared" si="4"/>
        <v>S</v>
      </c>
      <c r="AR6" s="30" t="str">
        <f t="shared" si="4"/>
        <v>M</v>
      </c>
      <c r="AS6" s="30" t="str">
        <f t="shared" si="4"/>
        <v>T</v>
      </c>
      <c r="AT6" s="30" t="str">
        <f t="shared" si="4"/>
        <v>W</v>
      </c>
      <c r="AU6" s="30" t="str">
        <f t="shared" si="4"/>
        <v>T</v>
      </c>
      <c r="AV6" s="30" t="str">
        <f t="shared" si="4"/>
        <v>F</v>
      </c>
      <c r="AW6" s="30" t="str">
        <f t="shared" si="4"/>
        <v>S</v>
      </c>
      <c r="AX6" s="30" t="str">
        <f t="shared" si="4"/>
        <v>S</v>
      </c>
      <c r="AY6" s="30" t="str">
        <f t="shared" si="4"/>
        <v>M</v>
      </c>
      <c r="AZ6" s="30" t="str">
        <f t="shared" si="4"/>
        <v>T</v>
      </c>
      <c r="BA6" s="30" t="str">
        <f t="shared" si="4"/>
        <v>W</v>
      </c>
      <c r="BB6" s="30" t="str">
        <f t="shared" si="4"/>
        <v>T</v>
      </c>
      <c r="BC6" s="30" t="str">
        <f t="shared" si="4"/>
        <v>F</v>
      </c>
      <c r="BD6" s="30" t="str">
        <f t="shared" si="4"/>
        <v>S</v>
      </c>
      <c r="BE6" s="30" t="str">
        <f t="shared" si="4"/>
        <v>S</v>
      </c>
      <c r="BF6" s="30" t="str">
        <f t="shared" si="4"/>
        <v>M</v>
      </c>
      <c r="BG6" s="30" t="str">
        <f t="shared" si="4"/>
        <v>T</v>
      </c>
      <c r="BH6" s="30" t="str">
        <f t="shared" si="4"/>
        <v>W</v>
      </c>
      <c r="BI6" s="30" t="str">
        <f t="shared" si="4"/>
        <v>T</v>
      </c>
      <c r="BJ6" s="30" t="str">
        <f t="shared" si="4"/>
        <v>F</v>
      </c>
      <c r="BK6" s="30" t="str">
        <f t="shared" si="4"/>
        <v>S</v>
      </c>
      <c r="BL6" s="31" t="str">
        <f t="shared" si="4"/>
        <v>S</v>
      </c>
    </row>
    <row r="7" spans="1:64" s="21" customFormat="1" ht="30" hidden="1" customHeight="1" thickBot="1" x14ac:dyDescent="0.2">
      <c r="A7" s="10" t="s">
        <v>13</v>
      </c>
      <c r="B7" s="32"/>
      <c r="C7" s="33"/>
      <c r="D7" s="32"/>
      <c r="E7" s="32"/>
      <c r="F7" s="32"/>
      <c r="H7" s="21" t="str">
        <f>IF(OR(ISBLANK(task_start),ISBLANK(task_end)),"",task_end-task_start+1)</f>
        <v/>
      </c>
      <c r="I7" s="34"/>
      <c r="J7" s="34"/>
      <c r="K7" s="34"/>
      <c r="L7" s="34"/>
      <c r="M7" s="34"/>
      <c r="N7" s="34"/>
      <c r="O7" s="34"/>
      <c r="P7" s="34"/>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row>
    <row r="8" spans="1:64" s="41" customFormat="1" ht="30" customHeight="1" thickBot="1" x14ac:dyDescent="0.2">
      <c r="A8" s="11"/>
      <c r="B8" s="35" t="s">
        <v>14</v>
      </c>
      <c r="C8" s="36"/>
      <c r="D8" s="37"/>
      <c r="E8" s="38"/>
      <c r="F8" s="39"/>
      <c r="G8" s="12"/>
      <c r="H8" s="3" t="str">
        <f t="shared" ref="H8:H31" si="5">IF(OR(ISBLANK(task_start),ISBLANK(task_end)),"",task_end-task_start+1)</f>
        <v/>
      </c>
      <c r="I8" s="40"/>
      <c r="J8" s="40"/>
      <c r="K8" s="40"/>
      <c r="L8" s="40"/>
      <c r="M8" s="40"/>
      <c r="N8" s="40"/>
      <c r="O8" s="40"/>
      <c r="P8" s="40"/>
      <c r="Q8" s="40"/>
      <c r="R8" s="40"/>
      <c r="S8" s="40"/>
      <c r="T8" s="40"/>
      <c r="U8" s="40"/>
      <c r="V8" s="40"/>
      <c r="W8" s="40"/>
      <c r="X8" s="40"/>
      <c r="Y8" s="40"/>
      <c r="Z8" s="40"/>
      <c r="AA8" s="40"/>
      <c r="AB8" s="40"/>
      <c r="AC8" s="40"/>
      <c r="AD8" s="40"/>
      <c r="AE8" s="40"/>
      <c r="AF8" s="40"/>
      <c r="AG8" s="40"/>
      <c r="AH8" s="40"/>
      <c r="AI8" s="40"/>
      <c r="AJ8" s="40"/>
      <c r="AK8" s="40"/>
      <c r="AL8" s="40"/>
      <c r="AM8" s="40"/>
      <c r="AN8" s="40"/>
      <c r="AO8" s="40"/>
      <c r="AP8" s="40"/>
      <c r="AQ8" s="40"/>
      <c r="AR8" s="40"/>
      <c r="AS8" s="40"/>
      <c r="AT8" s="40"/>
      <c r="AU8" s="40"/>
      <c r="AV8" s="40"/>
      <c r="AW8" s="40"/>
      <c r="AX8" s="40"/>
      <c r="AY8" s="40"/>
      <c r="AZ8" s="40"/>
      <c r="BA8" s="40"/>
      <c r="BB8" s="40"/>
      <c r="BC8" s="40"/>
      <c r="BD8" s="40"/>
      <c r="BE8" s="40"/>
      <c r="BF8" s="40"/>
      <c r="BG8" s="40"/>
      <c r="BH8" s="40"/>
      <c r="BI8" s="40"/>
      <c r="BJ8" s="40"/>
      <c r="BK8" s="40"/>
      <c r="BL8" s="40"/>
    </row>
    <row r="9" spans="1:64" s="41" customFormat="1" ht="30" customHeight="1" thickBot="1" x14ac:dyDescent="0.2">
      <c r="A9" s="11"/>
      <c r="B9" s="42" t="s">
        <v>15</v>
      </c>
      <c r="C9" s="43" t="s">
        <v>16</v>
      </c>
      <c r="D9" s="44">
        <v>1</v>
      </c>
      <c r="E9" s="45">
        <f>Project_Start</f>
        <v>46115</v>
      </c>
      <c r="F9" s="45">
        <v>46122</v>
      </c>
      <c r="G9" s="12"/>
      <c r="H9" s="3">
        <f t="shared" si="5"/>
        <v>8</v>
      </c>
      <c r="I9" s="46"/>
      <c r="J9" s="46"/>
      <c r="K9" s="46"/>
      <c r="L9" s="46"/>
      <c r="M9" s="46"/>
      <c r="N9" s="46"/>
      <c r="O9" s="46"/>
      <c r="P9" s="46"/>
      <c r="Q9" s="46"/>
      <c r="R9" s="46"/>
      <c r="S9" s="46"/>
      <c r="T9" s="46"/>
      <c r="U9" s="46"/>
      <c r="V9" s="46"/>
      <c r="W9" s="46"/>
      <c r="X9" s="46"/>
      <c r="Y9" s="46"/>
      <c r="Z9" s="46"/>
      <c r="AA9" s="46"/>
      <c r="AB9" s="46"/>
      <c r="AC9" s="46"/>
      <c r="AD9" s="46"/>
      <c r="AE9" s="46"/>
      <c r="AF9" s="46"/>
      <c r="AG9" s="46"/>
      <c r="AH9" s="46"/>
      <c r="AI9" s="46"/>
      <c r="AJ9" s="46"/>
      <c r="AK9" s="46"/>
      <c r="AL9" s="46"/>
      <c r="AM9" s="46"/>
      <c r="AN9" s="46"/>
      <c r="AO9" s="46"/>
      <c r="AP9" s="46"/>
      <c r="AQ9" s="46"/>
      <c r="AR9" s="46"/>
      <c r="AS9" s="46"/>
      <c r="AT9" s="46"/>
      <c r="AU9" s="46"/>
      <c r="AV9" s="46"/>
      <c r="AW9" s="46"/>
      <c r="AX9" s="46"/>
      <c r="AY9" s="46"/>
      <c r="AZ9" s="46"/>
      <c r="BA9" s="46"/>
      <c r="BB9" s="46"/>
      <c r="BC9" s="46"/>
      <c r="BD9" s="46"/>
      <c r="BE9" s="46"/>
      <c r="BF9" s="46"/>
      <c r="BG9" s="46"/>
      <c r="BH9" s="46"/>
      <c r="BI9" s="46"/>
      <c r="BJ9" s="46"/>
      <c r="BK9" s="46"/>
      <c r="BL9" s="46"/>
    </row>
    <row r="10" spans="1:64" s="41" customFormat="1" ht="30" customHeight="1" thickBot="1" x14ac:dyDescent="0.2">
      <c r="A10" s="11"/>
      <c r="B10" s="47" t="s">
        <v>17</v>
      </c>
      <c r="C10" s="48" t="s">
        <v>16</v>
      </c>
      <c r="D10" s="49">
        <v>1</v>
      </c>
      <c r="E10" s="50">
        <v>46122</v>
      </c>
      <c r="F10" s="50">
        <v>46126</v>
      </c>
      <c r="G10" s="12"/>
      <c r="H10" s="3">
        <f t="shared" si="5"/>
        <v>5</v>
      </c>
      <c r="I10" s="46"/>
      <c r="J10" s="46"/>
      <c r="K10" s="46"/>
      <c r="L10" s="46"/>
      <c r="M10" s="46"/>
      <c r="N10" s="46"/>
      <c r="O10" s="46"/>
      <c r="P10" s="46"/>
      <c r="Q10" s="46"/>
      <c r="R10" s="46"/>
      <c r="S10" s="46"/>
      <c r="T10" s="46"/>
      <c r="U10" s="51"/>
      <c r="V10" s="51"/>
      <c r="W10" s="46"/>
      <c r="X10" s="46"/>
      <c r="Y10" s="46"/>
      <c r="Z10" s="46"/>
      <c r="AA10" s="46"/>
      <c r="AB10" s="46"/>
      <c r="AC10" s="46"/>
      <c r="AD10" s="46"/>
      <c r="AE10" s="46"/>
      <c r="AF10" s="46"/>
      <c r="AG10" s="46"/>
      <c r="AH10" s="46"/>
      <c r="AI10" s="46"/>
      <c r="AJ10" s="46"/>
      <c r="AK10" s="46"/>
      <c r="AL10" s="46"/>
      <c r="AM10" s="46"/>
      <c r="AN10" s="46"/>
      <c r="AO10" s="46"/>
      <c r="AP10" s="46"/>
      <c r="AQ10" s="46"/>
      <c r="AR10" s="46"/>
      <c r="AS10" s="46"/>
      <c r="AT10" s="46"/>
      <c r="AU10" s="46"/>
      <c r="AV10" s="46"/>
      <c r="AW10" s="46"/>
      <c r="AX10" s="46"/>
      <c r="AY10" s="46"/>
      <c r="AZ10" s="46"/>
      <c r="BA10" s="46"/>
      <c r="BB10" s="46"/>
      <c r="BC10" s="46"/>
      <c r="BD10" s="46"/>
      <c r="BE10" s="46"/>
      <c r="BF10" s="46"/>
      <c r="BG10" s="46"/>
      <c r="BH10" s="46"/>
      <c r="BI10" s="46"/>
      <c r="BJ10" s="46"/>
      <c r="BK10" s="46"/>
      <c r="BL10" s="46"/>
    </row>
    <row r="11" spans="1:64" s="41" customFormat="1" ht="30" customHeight="1" thickBot="1" x14ac:dyDescent="0.2">
      <c r="A11" s="10"/>
      <c r="B11" s="47" t="s">
        <v>18</v>
      </c>
      <c r="C11" s="48" t="s">
        <v>19</v>
      </c>
      <c r="D11" s="49">
        <v>1</v>
      </c>
      <c r="E11" s="50">
        <f>F10</f>
        <v>46126</v>
      </c>
      <c r="F11" s="50">
        <f>E11+4</f>
        <v>46130</v>
      </c>
      <c r="G11" s="12"/>
      <c r="H11" s="3">
        <f t="shared" si="5"/>
        <v>5</v>
      </c>
      <c r="I11" s="46"/>
      <c r="J11" s="46"/>
      <c r="K11" s="46"/>
      <c r="L11" s="46"/>
      <c r="M11" s="46"/>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46"/>
      <c r="AO11" s="46"/>
      <c r="AP11" s="46"/>
      <c r="AQ11" s="46"/>
      <c r="AR11" s="46"/>
      <c r="AS11" s="46"/>
      <c r="AT11" s="46"/>
      <c r="AU11" s="46"/>
      <c r="AV11" s="46"/>
      <c r="AW11" s="46"/>
      <c r="AX11" s="46"/>
      <c r="AY11" s="46"/>
      <c r="AZ11" s="46"/>
      <c r="BA11" s="46"/>
      <c r="BB11" s="46"/>
      <c r="BC11" s="46"/>
      <c r="BD11" s="46"/>
      <c r="BE11" s="46"/>
      <c r="BF11" s="46"/>
      <c r="BG11" s="46"/>
      <c r="BH11" s="46"/>
      <c r="BI11" s="46"/>
      <c r="BJ11" s="46"/>
      <c r="BK11" s="46"/>
      <c r="BL11" s="46"/>
    </row>
    <row r="12" spans="1:64" s="41" customFormat="1" ht="30" customHeight="1" thickBot="1" x14ac:dyDescent="0.2">
      <c r="A12" s="10"/>
      <c r="B12" s="47" t="s">
        <v>20</v>
      </c>
      <c r="C12" s="48" t="s">
        <v>16</v>
      </c>
      <c r="D12" s="49">
        <v>1</v>
      </c>
      <c r="E12" s="50">
        <v>46129</v>
      </c>
      <c r="F12" s="50">
        <v>46130</v>
      </c>
      <c r="G12" s="12"/>
      <c r="H12" s="3">
        <f t="shared" si="5"/>
        <v>2</v>
      </c>
      <c r="I12" s="46"/>
      <c r="J12" s="46"/>
      <c r="K12" s="46"/>
      <c r="L12" s="46"/>
      <c r="M12" s="46"/>
      <c r="N12" s="46"/>
      <c r="O12" s="46"/>
      <c r="P12" s="46"/>
      <c r="Q12" s="46"/>
      <c r="R12" s="46"/>
      <c r="S12" s="46"/>
      <c r="T12" s="46"/>
      <c r="U12" s="46"/>
      <c r="V12" s="46"/>
      <c r="W12" s="46"/>
      <c r="X12" s="46"/>
      <c r="Y12" s="51"/>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row>
    <row r="13" spans="1:64" s="41" customFormat="1" ht="30" customHeight="1" thickBot="1" x14ac:dyDescent="0.2">
      <c r="A13" s="10"/>
      <c r="B13" s="47"/>
      <c r="C13" s="48"/>
      <c r="D13" s="49"/>
      <c r="E13" s="50"/>
      <c r="F13" s="50"/>
      <c r="G13" s="12"/>
      <c r="H13" s="3" t="str">
        <f t="shared" si="5"/>
        <v/>
      </c>
      <c r="I13" s="46"/>
      <c r="J13" s="46"/>
      <c r="K13" s="46"/>
      <c r="L13" s="46"/>
      <c r="M13" s="46"/>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c r="AN13" s="46"/>
      <c r="AO13" s="46"/>
      <c r="AP13" s="46"/>
      <c r="AQ13" s="46"/>
      <c r="AR13" s="46"/>
      <c r="AS13" s="46"/>
      <c r="AT13" s="46"/>
      <c r="AU13" s="46"/>
      <c r="AV13" s="46"/>
      <c r="AW13" s="46"/>
      <c r="AX13" s="46"/>
      <c r="AY13" s="46"/>
      <c r="AZ13" s="46"/>
      <c r="BA13" s="46"/>
      <c r="BB13" s="46"/>
      <c r="BC13" s="46"/>
      <c r="BD13" s="46"/>
      <c r="BE13" s="46"/>
      <c r="BF13" s="46"/>
      <c r="BG13" s="46"/>
      <c r="BH13" s="46"/>
      <c r="BI13" s="46"/>
      <c r="BJ13" s="46"/>
      <c r="BK13" s="46"/>
      <c r="BL13" s="46"/>
    </row>
    <row r="14" spans="1:64" s="41" customFormat="1" ht="30" customHeight="1" thickBot="1" x14ac:dyDescent="0.2">
      <c r="A14" s="11"/>
      <c r="B14" s="52" t="s">
        <v>21</v>
      </c>
      <c r="C14" s="53"/>
      <c r="D14" s="54"/>
      <c r="E14" s="55"/>
      <c r="F14" s="56"/>
      <c r="G14" s="12"/>
      <c r="H14" s="3" t="str">
        <f t="shared" si="5"/>
        <v/>
      </c>
    </row>
    <row r="15" spans="1:64" s="41" customFormat="1" ht="30" customHeight="1" thickBot="1" x14ac:dyDescent="0.2">
      <c r="A15" s="11"/>
      <c r="B15" s="57" t="s">
        <v>22</v>
      </c>
      <c r="C15" s="58" t="s">
        <v>23</v>
      </c>
      <c r="D15" s="59">
        <v>1</v>
      </c>
      <c r="E15" s="60">
        <v>46115</v>
      </c>
      <c r="F15" s="60">
        <v>46117</v>
      </c>
      <c r="G15" s="12"/>
      <c r="H15" s="3">
        <f t="shared" si="5"/>
        <v>3</v>
      </c>
      <c r="I15" s="46"/>
      <c r="J15" s="46"/>
      <c r="K15" s="46"/>
      <c r="L15" s="46"/>
      <c r="M15" s="46"/>
      <c r="N15" s="46"/>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row>
    <row r="16" spans="1:64" s="41" customFormat="1" ht="30" customHeight="1" thickBot="1" x14ac:dyDescent="0.2">
      <c r="A16" s="10"/>
      <c r="B16" s="57" t="s">
        <v>24</v>
      </c>
      <c r="C16" s="58" t="s">
        <v>23</v>
      </c>
      <c r="D16" s="59">
        <v>1</v>
      </c>
      <c r="E16" s="60">
        <v>46117</v>
      </c>
      <c r="F16" s="60">
        <v>46118</v>
      </c>
      <c r="G16" s="12"/>
      <c r="H16" s="3">
        <f t="shared" si="5"/>
        <v>2</v>
      </c>
      <c r="I16" s="46"/>
      <c r="J16" s="46"/>
      <c r="K16" s="46"/>
      <c r="L16" s="46"/>
      <c r="M16" s="46"/>
      <c r="N16" s="46"/>
      <c r="O16" s="46"/>
      <c r="P16" s="46"/>
      <c r="Q16" s="46"/>
      <c r="R16" s="46"/>
      <c r="S16" s="46"/>
      <c r="T16" s="46"/>
      <c r="U16" s="51"/>
      <c r="V16" s="51"/>
      <c r="W16" s="46"/>
      <c r="X16" s="46"/>
      <c r="Y16" s="46"/>
      <c r="Z16" s="46"/>
      <c r="AA16" s="46"/>
      <c r="AB16" s="46"/>
      <c r="AC16" s="46"/>
      <c r="AD16" s="46"/>
      <c r="AE16" s="46"/>
      <c r="AF16" s="46"/>
      <c r="AG16" s="46"/>
      <c r="AH16" s="46"/>
      <c r="AI16" s="46"/>
      <c r="AJ16" s="46"/>
      <c r="AK16" s="46"/>
      <c r="AL16" s="46"/>
      <c r="AM16" s="46"/>
      <c r="AN16" s="46"/>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row>
    <row r="17" spans="1:64" s="41" customFormat="1" ht="30" customHeight="1" thickBot="1" x14ac:dyDescent="0.2">
      <c r="A17" s="10"/>
      <c r="B17" s="57" t="s">
        <v>25</v>
      </c>
      <c r="C17" s="58" t="s">
        <v>19</v>
      </c>
      <c r="D17" s="59">
        <v>1</v>
      </c>
      <c r="E17" s="60">
        <f>F16</f>
        <v>46118</v>
      </c>
      <c r="F17" s="60">
        <v>46119</v>
      </c>
      <c r="G17" s="12"/>
      <c r="H17" s="3">
        <f t="shared" si="5"/>
        <v>2</v>
      </c>
      <c r="I17" s="46"/>
      <c r="J17" s="46"/>
      <c r="K17" s="46"/>
      <c r="L17" s="46"/>
      <c r="M17" s="46"/>
      <c r="N17" s="46"/>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c r="AN17" s="46"/>
      <c r="AO17" s="46"/>
      <c r="AP17" s="46"/>
      <c r="AQ17" s="46"/>
      <c r="AR17" s="46"/>
      <c r="AS17" s="46"/>
      <c r="AT17" s="46"/>
      <c r="AU17" s="46"/>
      <c r="AV17" s="46"/>
      <c r="AW17" s="46"/>
      <c r="AX17" s="46"/>
      <c r="AY17" s="46"/>
      <c r="AZ17" s="46"/>
      <c r="BA17" s="46"/>
      <c r="BB17" s="46"/>
      <c r="BC17" s="46"/>
      <c r="BD17" s="46"/>
      <c r="BE17" s="46"/>
      <c r="BF17" s="46"/>
      <c r="BG17" s="46"/>
      <c r="BH17" s="46"/>
      <c r="BI17" s="46"/>
      <c r="BJ17" s="46"/>
      <c r="BK17" s="46"/>
      <c r="BL17" s="46"/>
    </row>
    <row r="18" spans="1:64" s="41" customFormat="1" ht="30" customHeight="1" thickBot="1" x14ac:dyDescent="0.2">
      <c r="A18" s="10"/>
      <c r="B18" s="57" t="s">
        <v>26</v>
      </c>
      <c r="C18" s="58" t="s">
        <v>27</v>
      </c>
      <c r="D18" s="59">
        <v>1</v>
      </c>
      <c r="E18" s="60">
        <v>46119</v>
      </c>
      <c r="F18" s="60">
        <v>46119</v>
      </c>
      <c r="G18" s="12"/>
      <c r="H18" s="3">
        <f t="shared" si="5"/>
        <v>1</v>
      </c>
      <c r="I18" s="46"/>
      <c r="J18" s="46"/>
      <c r="K18" s="46"/>
      <c r="L18" s="46"/>
      <c r="M18" s="46"/>
      <c r="N18" s="46"/>
      <c r="O18" s="46"/>
      <c r="P18" s="46"/>
      <c r="Q18" s="46"/>
      <c r="R18" s="46"/>
      <c r="S18" s="46"/>
      <c r="T18" s="46"/>
      <c r="U18" s="46"/>
      <c r="V18" s="46"/>
      <c r="W18" s="46"/>
      <c r="X18" s="46"/>
      <c r="Y18" s="51"/>
      <c r="Z18" s="46"/>
      <c r="AA18" s="46"/>
      <c r="AB18" s="46"/>
      <c r="AC18" s="46"/>
      <c r="AD18" s="46"/>
      <c r="AE18" s="46"/>
      <c r="AF18" s="46"/>
      <c r="AG18" s="46"/>
      <c r="AH18" s="46"/>
      <c r="AI18" s="46"/>
      <c r="AJ18" s="46"/>
      <c r="AK18" s="46"/>
      <c r="AL18" s="46"/>
      <c r="AM18" s="46"/>
      <c r="AN18" s="46"/>
      <c r="AO18" s="46"/>
      <c r="AP18" s="46"/>
      <c r="AQ18" s="46"/>
      <c r="AR18" s="46"/>
      <c r="AS18" s="46"/>
      <c r="AT18" s="46"/>
      <c r="AU18" s="46"/>
      <c r="AV18" s="46"/>
      <c r="AW18" s="46"/>
      <c r="AX18" s="46"/>
      <c r="AY18" s="46"/>
      <c r="AZ18" s="46"/>
      <c r="BA18" s="46"/>
      <c r="BB18" s="46"/>
      <c r="BC18" s="46"/>
      <c r="BD18" s="46"/>
      <c r="BE18" s="46"/>
      <c r="BF18" s="46"/>
      <c r="BG18" s="46"/>
      <c r="BH18" s="46"/>
      <c r="BI18" s="46"/>
      <c r="BJ18" s="46"/>
      <c r="BK18" s="46"/>
      <c r="BL18" s="46"/>
    </row>
    <row r="19" spans="1:64" s="41" customFormat="1" ht="30" customHeight="1" thickBot="1" x14ac:dyDescent="0.2">
      <c r="A19" s="10"/>
      <c r="B19" s="57" t="s">
        <v>28</v>
      </c>
      <c r="C19" s="58" t="s">
        <v>16</v>
      </c>
      <c r="D19" s="59">
        <v>1</v>
      </c>
      <c r="E19" s="60">
        <f>E18</f>
        <v>46119</v>
      </c>
      <c r="F19" s="60">
        <v>46119</v>
      </c>
      <c r="G19" s="12"/>
      <c r="H19" s="3">
        <f t="shared" si="5"/>
        <v>1</v>
      </c>
      <c r="I19" s="46"/>
      <c r="J19" s="46"/>
      <c r="K19" s="46"/>
      <c r="L19" s="46"/>
      <c r="M19" s="46"/>
      <c r="N19" s="46"/>
      <c r="O19" s="46"/>
      <c r="P19" s="46"/>
      <c r="Q19" s="46"/>
      <c r="R19" s="46"/>
      <c r="S19" s="46"/>
      <c r="T19" s="46"/>
      <c r="U19" s="46"/>
      <c r="V19" s="46"/>
      <c r="W19" s="46"/>
      <c r="X19" s="46"/>
      <c r="Y19" s="46"/>
      <c r="Z19" s="46"/>
      <c r="AA19" s="46"/>
      <c r="AB19" s="46"/>
      <c r="AC19" s="46"/>
      <c r="AD19" s="46"/>
      <c r="AE19" s="46"/>
      <c r="AF19" s="46"/>
      <c r="AG19" s="46"/>
      <c r="AH19" s="46"/>
      <c r="AI19" s="46"/>
      <c r="AJ19" s="46"/>
      <c r="AK19" s="46"/>
      <c r="AL19" s="46"/>
      <c r="AM19" s="46"/>
      <c r="AN19" s="46"/>
      <c r="AO19" s="46"/>
      <c r="AP19" s="46"/>
      <c r="AQ19" s="46"/>
      <c r="AR19" s="46"/>
      <c r="AS19" s="46"/>
      <c r="AT19" s="46"/>
      <c r="AU19" s="46"/>
      <c r="AV19" s="46"/>
      <c r="AW19" s="46"/>
      <c r="AX19" s="46"/>
      <c r="AY19" s="46"/>
      <c r="AZ19" s="46"/>
      <c r="BA19" s="46"/>
      <c r="BB19" s="46"/>
      <c r="BC19" s="46"/>
      <c r="BD19" s="46"/>
      <c r="BE19" s="46"/>
      <c r="BF19" s="46"/>
      <c r="BG19" s="46"/>
      <c r="BH19" s="46"/>
      <c r="BI19" s="46"/>
      <c r="BJ19" s="46"/>
      <c r="BK19" s="46"/>
      <c r="BL19" s="46"/>
    </row>
    <row r="20" spans="1:64" s="41" customFormat="1" ht="30" customHeight="1" thickBot="1" x14ac:dyDescent="0.2">
      <c r="A20" s="10"/>
      <c r="B20" s="61" t="s">
        <v>29</v>
      </c>
      <c r="C20" s="62"/>
      <c r="D20" s="63"/>
      <c r="E20" s="64"/>
      <c r="F20" s="65"/>
      <c r="G20" s="12"/>
      <c r="H20" s="3" t="str">
        <f t="shared" si="5"/>
        <v/>
      </c>
      <c r="I20" s="66"/>
      <c r="J20" s="66"/>
      <c r="K20" s="66"/>
      <c r="L20" s="66"/>
      <c r="M20" s="66"/>
      <c r="N20" s="66"/>
      <c r="O20" s="66"/>
      <c r="P20" s="66"/>
      <c r="Q20" s="66"/>
      <c r="R20" s="66"/>
      <c r="S20" s="66"/>
      <c r="T20" s="66"/>
      <c r="U20" s="66"/>
      <c r="V20" s="66"/>
      <c r="W20" s="66"/>
      <c r="X20" s="66"/>
      <c r="Y20" s="66"/>
      <c r="Z20" s="66"/>
      <c r="AA20" s="66"/>
      <c r="AB20" s="66"/>
      <c r="AC20" s="66"/>
      <c r="AD20" s="66"/>
      <c r="AE20" s="66"/>
      <c r="AF20" s="66"/>
      <c r="AG20" s="66"/>
      <c r="AH20" s="66"/>
      <c r="AI20" s="66"/>
      <c r="AJ20" s="66"/>
      <c r="AK20" s="66"/>
      <c r="AL20" s="66"/>
      <c r="AM20" s="66"/>
      <c r="AN20" s="66"/>
      <c r="AO20" s="66"/>
      <c r="AP20" s="66"/>
      <c r="AQ20" s="66"/>
      <c r="AR20" s="66"/>
      <c r="AS20" s="66"/>
      <c r="AT20" s="66"/>
      <c r="AU20" s="66"/>
      <c r="AV20" s="66"/>
      <c r="AW20" s="66"/>
      <c r="AX20" s="66"/>
      <c r="AY20" s="66"/>
      <c r="AZ20" s="66"/>
      <c r="BA20" s="66"/>
      <c r="BB20" s="66"/>
      <c r="BC20" s="66"/>
      <c r="BD20" s="66"/>
      <c r="BE20" s="66"/>
      <c r="BF20" s="66"/>
      <c r="BG20" s="66"/>
      <c r="BH20" s="66"/>
      <c r="BI20" s="66"/>
      <c r="BJ20" s="66"/>
      <c r="BK20" s="66"/>
      <c r="BL20" s="66"/>
    </row>
    <row r="21" spans="1:64" s="41" customFormat="1" ht="30" customHeight="1" thickBot="1" x14ac:dyDescent="0.2">
      <c r="A21" s="10"/>
      <c r="B21" s="67" t="s">
        <v>30</v>
      </c>
      <c r="C21" s="68" t="s">
        <v>16</v>
      </c>
      <c r="D21" s="69">
        <v>1</v>
      </c>
      <c r="E21" s="70">
        <v>46115</v>
      </c>
      <c r="F21" s="70">
        <v>46117</v>
      </c>
      <c r="G21" s="12"/>
      <c r="H21" s="3">
        <f t="shared" si="5"/>
        <v>3</v>
      </c>
      <c r="I21" s="46"/>
      <c r="J21" s="46"/>
      <c r="K21" s="46"/>
      <c r="L21" s="46"/>
      <c r="M21" s="46"/>
      <c r="N21" s="46"/>
      <c r="O21" s="46"/>
      <c r="P21" s="46"/>
      <c r="Q21" s="46"/>
      <c r="R21" s="46"/>
      <c r="S21" s="46"/>
      <c r="T21" s="46"/>
      <c r="U21" s="46"/>
      <c r="V21" s="46"/>
      <c r="W21" s="46"/>
      <c r="X21" s="46"/>
      <c r="Y21" s="46"/>
      <c r="Z21" s="46"/>
      <c r="AA21" s="46"/>
      <c r="AB21" s="46"/>
      <c r="AC21" s="46"/>
      <c r="AD21" s="46"/>
      <c r="AE21" s="46"/>
      <c r="AF21" s="46"/>
      <c r="AG21" s="46"/>
      <c r="AH21" s="46"/>
      <c r="AI21" s="46"/>
      <c r="AJ21" s="46"/>
      <c r="AK21" s="46"/>
      <c r="AL21" s="46"/>
      <c r="AM21" s="46"/>
      <c r="AN21" s="46"/>
      <c r="AO21" s="46"/>
      <c r="AP21" s="46"/>
      <c r="AQ21" s="46"/>
      <c r="AR21" s="46"/>
      <c r="AS21" s="46"/>
      <c r="AT21" s="46"/>
      <c r="AU21" s="46"/>
      <c r="AV21" s="46"/>
      <c r="AW21" s="46"/>
      <c r="AX21" s="46"/>
      <c r="AY21" s="46"/>
      <c r="AZ21" s="46"/>
      <c r="BA21" s="46"/>
      <c r="BB21" s="46"/>
      <c r="BC21" s="46"/>
      <c r="BD21" s="46"/>
      <c r="BE21" s="46"/>
      <c r="BF21" s="46"/>
      <c r="BG21" s="46"/>
      <c r="BH21" s="46"/>
      <c r="BI21" s="46"/>
      <c r="BJ21" s="46"/>
      <c r="BK21" s="46"/>
      <c r="BL21" s="46"/>
    </row>
    <row r="22" spans="1:64" s="41" customFormat="1" ht="30" customHeight="1" thickBot="1" x14ac:dyDescent="0.2">
      <c r="A22" s="10"/>
      <c r="B22" s="67" t="s">
        <v>31</v>
      </c>
      <c r="C22" s="68" t="s">
        <v>32</v>
      </c>
      <c r="D22" s="69">
        <v>1</v>
      </c>
      <c r="E22" s="70">
        <v>46115</v>
      </c>
      <c r="F22" s="70">
        <v>46133</v>
      </c>
      <c r="G22" s="12"/>
      <c r="H22" s="3">
        <f t="shared" si="5"/>
        <v>19</v>
      </c>
      <c r="I22" s="46"/>
      <c r="J22" s="46"/>
      <c r="K22" s="46"/>
      <c r="L22" s="46"/>
      <c r="M22" s="46"/>
      <c r="N22" s="46"/>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46"/>
      <c r="AO22" s="46"/>
      <c r="AP22" s="46"/>
      <c r="AQ22" s="46"/>
      <c r="AR22" s="46"/>
      <c r="AS22" s="46"/>
      <c r="AT22" s="46"/>
      <c r="AU22" s="46"/>
      <c r="AV22" s="46"/>
      <c r="AW22" s="46"/>
      <c r="AX22" s="46"/>
      <c r="AY22" s="46"/>
      <c r="AZ22" s="46"/>
      <c r="BA22" s="46"/>
      <c r="BB22" s="46"/>
      <c r="BC22" s="46"/>
      <c r="BD22" s="46"/>
      <c r="BE22" s="46"/>
      <c r="BF22" s="46"/>
      <c r="BG22" s="46"/>
      <c r="BH22" s="46"/>
      <c r="BI22" s="46"/>
      <c r="BJ22" s="46"/>
      <c r="BK22" s="46"/>
      <c r="BL22" s="46"/>
    </row>
    <row r="23" spans="1:64" s="41" customFormat="1" ht="30" customHeight="1" thickBot="1" x14ac:dyDescent="0.2">
      <c r="A23" s="10"/>
      <c r="B23" s="67" t="s">
        <v>33</v>
      </c>
      <c r="C23" s="68" t="s">
        <v>16</v>
      </c>
      <c r="D23" s="69">
        <v>1</v>
      </c>
      <c r="E23" s="70">
        <v>46130</v>
      </c>
      <c r="F23" s="70">
        <v>46131</v>
      </c>
      <c r="G23" s="12"/>
      <c r="H23" s="3">
        <f t="shared" si="5"/>
        <v>2</v>
      </c>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46"/>
      <c r="AU23" s="46"/>
      <c r="AV23" s="46"/>
      <c r="AW23" s="46"/>
      <c r="AX23" s="46"/>
      <c r="AY23" s="46"/>
      <c r="AZ23" s="46"/>
      <c r="BA23" s="46"/>
      <c r="BB23" s="46"/>
      <c r="BC23" s="46"/>
      <c r="BD23" s="46"/>
      <c r="BE23" s="46"/>
      <c r="BF23" s="46"/>
      <c r="BG23" s="46"/>
      <c r="BH23" s="46"/>
      <c r="BI23" s="46"/>
      <c r="BJ23" s="46"/>
      <c r="BK23" s="46"/>
      <c r="BL23" s="46"/>
    </row>
    <row r="24" spans="1:64" s="41" customFormat="1" ht="30" customHeight="1" thickBot="1" x14ac:dyDescent="0.2">
      <c r="A24" s="10"/>
      <c r="B24" s="67" t="s">
        <v>34</v>
      </c>
      <c r="C24" s="68" t="s">
        <v>19</v>
      </c>
      <c r="D24" s="69">
        <v>1</v>
      </c>
      <c r="E24" s="70">
        <v>46115</v>
      </c>
      <c r="F24" s="70">
        <v>46115</v>
      </c>
      <c r="G24" s="12"/>
      <c r="H24" s="3">
        <f t="shared" si="5"/>
        <v>1</v>
      </c>
      <c r="I24" s="46"/>
      <c r="J24" s="46"/>
      <c r="K24" s="46"/>
      <c r="L24" s="46"/>
      <c r="M24" s="46"/>
      <c r="N24" s="46"/>
      <c r="O24" s="46"/>
      <c r="P24" s="46"/>
      <c r="Q24" s="46"/>
      <c r="R24" s="46"/>
      <c r="S24" s="46"/>
      <c r="T24" s="46"/>
      <c r="U24" s="46"/>
      <c r="V24" s="46"/>
      <c r="W24" s="46"/>
      <c r="X24" s="46"/>
      <c r="Y24" s="46"/>
      <c r="Z24" s="46"/>
      <c r="AA24" s="46"/>
      <c r="AB24" s="46"/>
      <c r="AC24" s="46"/>
      <c r="AD24" s="46"/>
      <c r="AE24" s="46"/>
      <c r="AF24" s="46"/>
      <c r="AG24" s="46"/>
      <c r="AH24" s="46"/>
      <c r="AI24" s="46"/>
      <c r="AJ24" s="46"/>
      <c r="AK24" s="46"/>
      <c r="AL24" s="46"/>
      <c r="AM24" s="46"/>
      <c r="AN24" s="46"/>
      <c r="AO24" s="46"/>
      <c r="AP24" s="46"/>
      <c r="AQ24" s="46"/>
      <c r="AR24" s="46"/>
      <c r="AS24" s="46"/>
      <c r="AT24" s="46"/>
      <c r="AU24" s="46"/>
      <c r="AV24" s="46"/>
      <c r="AW24" s="46"/>
      <c r="AX24" s="46"/>
      <c r="AY24" s="46"/>
      <c r="AZ24" s="46"/>
      <c r="BA24" s="46"/>
      <c r="BB24" s="46"/>
      <c r="BC24" s="46"/>
      <c r="BD24" s="46"/>
      <c r="BE24" s="46"/>
      <c r="BF24" s="46"/>
      <c r="BG24" s="46"/>
      <c r="BH24" s="46"/>
      <c r="BI24" s="46"/>
      <c r="BJ24" s="46"/>
      <c r="BK24" s="46"/>
      <c r="BL24" s="46"/>
    </row>
    <row r="25" spans="1:64" s="41" customFormat="1" ht="30" customHeight="1" thickBot="1" x14ac:dyDescent="0.2">
      <c r="A25" s="10"/>
      <c r="B25" s="67"/>
      <c r="C25" s="68"/>
      <c r="D25" s="69"/>
      <c r="E25" s="70"/>
      <c r="F25" s="70"/>
      <c r="G25" s="12"/>
      <c r="H25" s="3" t="str">
        <f t="shared" si="5"/>
        <v/>
      </c>
      <c r="I25" s="46"/>
      <c r="J25" s="46"/>
      <c r="K25" s="46"/>
      <c r="L25" s="46"/>
      <c r="M25" s="46"/>
      <c r="N25" s="46"/>
      <c r="O25" s="46"/>
      <c r="P25" s="46"/>
      <c r="Q25" s="46"/>
      <c r="R25" s="46"/>
      <c r="S25" s="46"/>
      <c r="T25" s="46"/>
      <c r="U25" s="46"/>
      <c r="V25" s="46"/>
      <c r="W25" s="46"/>
      <c r="X25" s="46"/>
      <c r="Y25" s="46"/>
      <c r="Z25" s="46"/>
      <c r="AA25" s="46"/>
      <c r="AB25" s="46"/>
      <c r="AC25" s="46"/>
      <c r="AD25" s="46"/>
      <c r="AE25" s="46"/>
      <c r="AF25" s="46"/>
      <c r="AG25" s="46"/>
      <c r="AH25" s="46"/>
      <c r="AI25" s="46"/>
      <c r="AJ25" s="46"/>
      <c r="AK25" s="46"/>
      <c r="AL25" s="46"/>
      <c r="AM25" s="46"/>
      <c r="AN25" s="46"/>
      <c r="AO25" s="46"/>
      <c r="AP25" s="46"/>
      <c r="AQ25" s="46"/>
      <c r="AR25" s="46"/>
      <c r="AS25" s="46"/>
      <c r="AT25" s="46"/>
      <c r="AU25" s="46"/>
      <c r="AV25" s="46"/>
      <c r="AW25" s="46"/>
      <c r="AX25" s="46"/>
      <c r="AY25" s="46"/>
      <c r="AZ25" s="46"/>
      <c r="BA25" s="46"/>
      <c r="BB25" s="46"/>
      <c r="BC25" s="46"/>
      <c r="BD25" s="46"/>
      <c r="BE25" s="46"/>
      <c r="BF25" s="46"/>
      <c r="BG25" s="46"/>
      <c r="BH25" s="46"/>
      <c r="BI25" s="46"/>
      <c r="BJ25" s="46"/>
      <c r="BK25" s="46"/>
      <c r="BL25" s="46"/>
    </row>
    <row r="26" spans="1:64" s="41" customFormat="1" ht="30" customHeight="1" thickBot="1" x14ac:dyDescent="0.2">
      <c r="A26" s="10"/>
      <c r="B26" s="71" t="s">
        <v>35</v>
      </c>
      <c r="C26" s="72"/>
      <c r="D26" s="73"/>
      <c r="E26" s="74"/>
      <c r="F26" s="75"/>
      <c r="G26" s="12"/>
      <c r="H26" s="3" t="str">
        <f t="shared" si="5"/>
        <v/>
      </c>
      <c r="I26" s="76"/>
      <c r="J26" s="76"/>
      <c r="K26" s="76"/>
      <c r="L26" s="76"/>
      <c r="M26" s="76"/>
      <c r="N26" s="76"/>
      <c r="O26" s="76"/>
      <c r="P26" s="76"/>
      <c r="Q26" s="76"/>
      <c r="R26" s="76"/>
      <c r="S26" s="76"/>
      <c r="T26" s="76"/>
      <c r="U26" s="76"/>
      <c r="V26" s="76"/>
      <c r="W26" s="76"/>
      <c r="X26" s="76"/>
      <c r="Y26" s="76"/>
      <c r="Z26" s="76"/>
      <c r="AA26" s="76"/>
      <c r="AB26" s="76"/>
      <c r="AC26" s="76"/>
      <c r="AD26" s="76"/>
      <c r="AE26" s="76"/>
      <c r="AF26" s="76"/>
      <c r="AG26" s="76"/>
      <c r="AH26" s="76"/>
      <c r="AI26" s="76"/>
      <c r="AJ26" s="76"/>
      <c r="AK26" s="76"/>
      <c r="AL26" s="76"/>
      <c r="AM26" s="76"/>
      <c r="AN26" s="76"/>
      <c r="AO26" s="76"/>
      <c r="AP26" s="76"/>
      <c r="AQ26" s="76"/>
      <c r="AR26" s="76"/>
      <c r="AS26" s="76"/>
      <c r="AT26" s="76"/>
      <c r="AU26" s="76"/>
      <c r="AV26" s="76"/>
      <c r="AW26" s="76"/>
      <c r="AX26" s="76"/>
      <c r="AY26" s="76"/>
      <c r="AZ26" s="76"/>
      <c r="BA26" s="76"/>
      <c r="BB26" s="76"/>
      <c r="BC26" s="76"/>
      <c r="BD26" s="76"/>
      <c r="BE26" s="76"/>
      <c r="BF26" s="76"/>
      <c r="BG26" s="76"/>
      <c r="BH26" s="76"/>
      <c r="BI26" s="76"/>
      <c r="BJ26" s="76"/>
      <c r="BK26" s="76"/>
      <c r="BL26" s="76"/>
    </row>
    <row r="27" spans="1:64" s="41" customFormat="1" ht="30" customHeight="1" thickBot="1" x14ac:dyDescent="0.2">
      <c r="A27" s="10"/>
      <c r="B27" s="77" t="s">
        <v>36</v>
      </c>
      <c r="C27" s="78" t="s">
        <v>27</v>
      </c>
      <c r="D27" s="79">
        <v>1</v>
      </c>
      <c r="E27" s="80">
        <v>46129</v>
      </c>
      <c r="F27" s="80">
        <v>46131</v>
      </c>
      <c r="G27" s="12"/>
      <c r="H27" s="3">
        <f t="shared" si="5"/>
        <v>3</v>
      </c>
      <c r="I27" s="46"/>
      <c r="J27" s="46"/>
      <c r="K27" s="46"/>
      <c r="L27" s="46"/>
      <c r="M27" s="46"/>
      <c r="N27" s="46"/>
      <c r="O27" s="46"/>
      <c r="P27" s="46"/>
      <c r="Q27" s="46"/>
      <c r="R27" s="46"/>
      <c r="S27" s="46"/>
      <c r="T27" s="46"/>
      <c r="U27" s="46"/>
      <c r="V27" s="46"/>
      <c r="W27" s="46"/>
      <c r="X27" s="46"/>
      <c r="Y27" s="46"/>
      <c r="Z27" s="46"/>
      <c r="AA27" s="46"/>
      <c r="AB27" s="46"/>
      <c r="AC27" s="46"/>
      <c r="AD27" s="46"/>
      <c r="AE27" s="46"/>
      <c r="AF27" s="46"/>
      <c r="AG27" s="46"/>
      <c r="AH27" s="46"/>
      <c r="AI27" s="46"/>
      <c r="AJ27" s="46"/>
      <c r="AK27" s="46"/>
      <c r="AL27" s="46"/>
      <c r="AM27" s="46"/>
      <c r="AN27" s="46"/>
      <c r="AO27" s="46"/>
      <c r="AP27" s="46"/>
      <c r="AQ27" s="46"/>
      <c r="AR27" s="46"/>
      <c r="AS27" s="46"/>
      <c r="AT27" s="46"/>
      <c r="AU27" s="46"/>
      <c r="AV27" s="46"/>
      <c r="AW27" s="46"/>
      <c r="AX27" s="46"/>
      <c r="AY27" s="46"/>
      <c r="AZ27" s="46"/>
      <c r="BA27" s="46"/>
      <c r="BB27" s="46"/>
      <c r="BC27" s="46"/>
      <c r="BD27" s="46"/>
      <c r="BE27" s="46"/>
      <c r="BF27" s="46"/>
      <c r="BG27" s="46"/>
      <c r="BH27" s="46"/>
      <c r="BI27" s="46"/>
      <c r="BJ27" s="46"/>
      <c r="BK27" s="46"/>
      <c r="BL27" s="46"/>
    </row>
    <row r="28" spans="1:64" s="41" customFormat="1" ht="30" customHeight="1" thickBot="1" x14ac:dyDescent="0.2">
      <c r="A28" s="10"/>
      <c r="B28" s="77" t="s">
        <v>37</v>
      </c>
      <c r="C28" s="78" t="s">
        <v>27</v>
      </c>
      <c r="D28" s="79">
        <v>1</v>
      </c>
      <c r="E28" s="80">
        <v>46129</v>
      </c>
      <c r="F28" s="80">
        <v>46131</v>
      </c>
      <c r="G28" s="12"/>
      <c r="H28" s="3">
        <f t="shared" si="5"/>
        <v>3</v>
      </c>
      <c r="I28" s="46"/>
      <c r="J28" s="46"/>
      <c r="K28" s="46"/>
      <c r="L28" s="46"/>
      <c r="M28" s="46"/>
      <c r="N28" s="46"/>
      <c r="O28" s="46"/>
      <c r="P28" s="46"/>
      <c r="Q28" s="46"/>
      <c r="R28" s="46"/>
      <c r="S28" s="46"/>
      <c r="T28" s="46"/>
      <c r="U28" s="46"/>
      <c r="V28" s="46"/>
      <c r="W28" s="46"/>
      <c r="X28" s="46"/>
      <c r="Y28" s="46"/>
      <c r="Z28" s="46"/>
      <c r="AA28" s="46"/>
      <c r="AB28" s="46"/>
      <c r="AC28" s="46"/>
      <c r="AD28" s="46"/>
      <c r="AE28" s="46"/>
      <c r="AF28" s="46"/>
      <c r="AG28" s="46"/>
      <c r="AH28" s="46"/>
      <c r="AI28" s="46"/>
      <c r="AJ28" s="46"/>
      <c r="AK28" s="46"/>
      <c r="AL28" s="46"/>
      <c r="AM28" s="46"/>
      <c r="AN28" s="46"/>
      <c r="AO28" s="46"/>
      <c r="AP28" s="46"/>
      <c r="AQ28" s="46"/>
      <c r="AR28" s="46"/>
      <c r="AS28" s="46"/>
      <c r="AT28" s="46"/>
      <c r="AU28" s="46"/>
      <c r="AV28" s="46"/>
      <c r="AW28" s="46"/>
      <c r="AX28" s="46"/>
      <c r="AY28" s="46"/>
      <c r="AZ28" s="46"/>
      <c r="BA28" s="46"/>
      <c r="BB28" s="46"/>
      <c r="BC28" s="46"/>
      <c r="BD28" s="46"/>
      <c r="BE28" s="46"/>
      <c r="BF28" s="46"/>
      <c r="BG28" s="46"/>
      <c r="BH28" s="46"/>
      <c r="BI28" s="46"/>
      <c r="BJ28" s="46"/>
      <c r="BK28" s="46"/>
      <c r="BL28" s="46"/>
    </row>
    <row r="29" spans="1:64" s="41" customFormat="1" ht="30" customHeight="1" thickBot="1" x14ac:dyDescent="0.2">
      <c r="A29" s="10"/>
      <c r="B29" s="77" t="s">
        <v>38</v>
      </c>
      <c r="C29" s="78" t="s">
        <v>27</v>
      </c>
      <c r="D29" s="79">
        <v>1</v>
      </c>
      <c r="E29" s="80">
        <v>46131</v>
      </c>
      <c r="F29" s="80">
        <v>46132</v>
      </c>
      <c r="G29" s="12"/>
      <c r="H29" s="3">
        <f t="shared" si="5"/>
        <v>2</v>
      </c>
      <c r="I29" s="46"/>
      <c r="J29" s="46"/>
      <c r="K29" s="46"/>
      <c r="L29" s="46"/>
      <c r="M29" s="46"/>
      <c r="N29" s="46"/>
      <c r="O29" s="46"/>
      <c r="P29" s="46"/>
      <c r="Q29" s="46"/>
      <c r="R29" s="46"/>
      <c r="S29" s="46"/>
      <c r="T29" s="46"/>
      <c r="U29" s="46"/>
      <c r="V29" s="46"/>
      <c r="W29" s="46"/>
      <c r="X29" s="46"/>
      <c r="Y29" s="46"/>
      <c r="Z29" s="46"/>
      <c r="AA29" s="46"/>
      <c r="AB29" s="46"/>
      <c r="AC29" s="46"/>
      <c r="AD29" s="46"/>
      <c r="AE29" s="46"/>
      <c r="AF29" s="46"/>
      <c r="AG29" s="46"/>
      <c r="AH29" s="46"/>
      <c r="AI29" s="46"/>
      <c r="AJ29" s="46"/>
      <c r="AK29" s="46"/>
      <c r="AL29" s="46"/>
      <c r="AM29" s="46"/>
      <c r="AN29" s="46"/>
      <c r="AO29" s="46"/>
      <c r="AP29" s="46"/>
      <c r="AQ29" s="46"/>
      <c r="AR29" s="46"/>
      <c r="AS29" s="46"/>
      <c r="AT29" s="46"/>
      <c r="AU29" s="46"/>
      <c r="AV29" s="46"/>
      <c r="AW29" s="46"/>
      <c r="AX29" s="46"/>
      <c r="AY29" s="46"/>
      <c r="AZ29" s="46"/>
      <c r="BA29" s="46"/>
      <c r="BB29" s="46"/>
      <c r="BC29" s="46"/>
      <c r="BD29" s="46"/>
      <c r="BE29" s="46"/>
      <c r="BF29" s="46"/>
      <c r="BG29" s="46"/>
      <c r="BH29" s="46"/>
      <c r="BI29" s="46"/>
      <c r="BJ29" s="46"/>
      <c r="BK29" s="46"/>
      <c r="BL29" s="46"/>
    </row>
    <row r="30" spans="1:64" s="41" customFormat="1" ht="30" customHeight="1" thickBot="1" x14ac:dyDescent="0.2">
      <c r="A30" s="10"/>
      <c r="B30" s="77" t="s">
        <v>39</v>
      </c>
      <c r="C30" s="78" t="s">
        <v>27</v>
      </c>
      <c r="D30" s="79">
        <v>1</v>
      </c>
      <c r="E30" s="80">
        <v>46131</v>
      </c>
      <c r="F30" s="80">
        <v>46132</v>
      </c>
      <c r="G30" s="12"/>
      <c r="H30" s="3">
        <f t="shared" si="5"/>
        <v>2</v>
      </c>
      <c r="I30" s="46"/>
      <c r="J30" s="46"/>
      <c r="K30" s="46"/>
      <c r="L30" s="46"/>
      <c r="M30" s="46"/>
      <c r="N30" s="46"/>
      <c r="O30" s="46"/>
      <c r="P30" s="46"/>
      <c r="Q30" s="46"/>
      <c r="R30" s="46"/>
      <c r="S30" s="46"/>
      <c r="T30" s="46"/>
      <c r="U30" s="46"/>
      <c r="V30" s="46"/>
      <c r="W30" s="46"/>
      <c r="X30" s="46"/>
      <c r="Y30" s="46"/>
      <c r="Z30" s="46"/>
      <c r="AA30" s="46"/>
      <c r="AB30" s="46"/>
      <c r="AC30" s="46"/>
      <c r="AD30" s="46"/>
      <c r="AE30" s="46"/>
      <c r="AF30" s="46"/>
      <c r="AG30" s="46"/>
      <c r="AH30" s="46"/>
      <c r="AI30" s="46"/>
      <c r="AJ30" s="46"/>
      <c r="AK30" s="46"/>
      <c r="AL30" s="46"/>
      <c r="AM30" s="46"/>
      <c r="AN30" s="46"/>
      <c r="AO30" s="46"/>
      <c r="AP30" s="46"/>
      <c r="AQ30" s="46"/>
      <c r="AR30" s="46"/>
      <c r="AS30" s="46"/>
      <c r="AT30" s="46"/>
      <c r="AU30" s="46"/>
      <c r="AV30" s="46"/>
      <c r="AW30" s="46"/>
      <c r="AX30" s="46"/>
      <c r="AY30" s="46"/>
      <c r="AZ30" s="46"/>
      <c r="BA30" s="46"/>
      <c r="BB30" s="46"/>
      <c r="BC30" s="46"/>
      <c r="BD30" s="46"/>
      <c r="BE30" s="46"/>
      <c r="BF30" s="46"/>
      <c r="BG30" s="46"/>
      <c r="BH30" s="46"/>
      <c r="BI30" s="46"/>
      <c r="BJ30" s="46"/>
      <c r="BK30" s="46"/>
      <c r="BL30" s="46"/>
    </row>
    <row r="31" spans="1:64" s="41" customFormat="1" ht="30" customHeight="1" thickBot="1" x14ac:dyDescent="0.2">
      <c r="A31" s="10"/>
      <c r="B31" s="77" t="s">
        <v>40</v>
      </c>
      <c r="C31" s="78" t="s">
        <v>27</v>
      </c>
      <c r="D31" s="79">
        <v>1</v>
      </c>
      <c r="E31" s="80">
        <v>46132</v>
      </c>
      <c r="F31" s="80">
        <v>46132</v>
      </c>
      <c r="G31" s="12"/>
      <c r="H31" s="3">
        <f t="shared" si="5"/>
        <v>1</v>
      </c>
      <c r="I31" s="46"/>
      <c r="J31" s="46"/>
      <c r="K31" s="46"/>
      <c r="L31" s="46"/>
      <c r="M31" s="46"/>
      <c r="N31" s="46"/>
      <c r="O31" s="46"/>
      <c r="P31" s="46"/>
      <c r="Q31" s="46"/>
      <c r="R31" s="46"/>
      <c r="S31" s="46"/>
      <c r="T31" s="46"/>
      <c r="U31" s="46"/>
      <c r="V31" s="46"/>
      <c r="W31" s="46"/>
      <c r="X31" s="46"/>
      <c r="Y31" s="46"/>
      <c r="Z31" s="46"/>
      <c r="AA31" s="46"/>
      <c r="AB31" s="46"/>
      <c r="AC31" s="46"/>
      <c r="AD31" s="46"/>
      <c r="AE31" s="46"/>
      <c r="AF31" s="46"/>
      <c r="AG31" s="46"/>
      <c r="AH31" s="46"/>
      <c r="AI31" s="46"/>
      <c r="AJ31" s="46"/>
      <c r="AK31" s="46"/>
      <c r="AL31" s="46"/>
      <c r="AM31" s="46"/>
      <c r="AN31" s="46"/>
      <c r="AO31" s="46"/>
      <c r="AP31" s="46"/>
      <c r="AQ31" s="46"/>
      <c r="AR31" s="46"/>
      <c r="AS31" s="46"/>
      <c r="AT31" s="46"/>
      <c r="AU31" s="46"/>
      <c r="AV31" s="46"/>
      <c r="AW31" s="46"/>
      <c r="AX31" s="46"/>
      <c r="AY31" s="46"/>
      <c r="AZ31" s="46"/>
      <c r="BA31" s="46"/>
      <c r="BB31" s="46"/>
      <c r="BC31" s="46"/>
      <c r="BD31" s="46"/>
      <c r="BE31" s="46"/>
      <c r="BF31" s="46"/>
      <c r="BG31" s="46"/>
      <c r="BH31" s="46"/>
      <c r="BI31" s="46"/>
      <c r="BJ31" s="46"/>
      <c r="BK31" s="46"/>
      <c r="BL31" s="46"/>
    </row>
    <row r="32" spans="1:64" s="41" customFormat="1" ht="30" customHeight="1" x14ac:dyDescent="0.15">
      <c r="A32" s="10"/>
      <c r="B32"/>
      <c r="C32"/>
      <c r="D32"/>
      <c r="E32" s="2"/>
      <c r="F32"/>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row>
    <row r="33" spans="1:64" s="41" customFormat="1" ht="30" customHeight="1" x14ac:dyDescent="0.15">
      <c r="A33" s="10"/>
      <c r="B33"/>
      <c r="C33"/>
      <c r="D33"/>
      <c r="E33" s="2"/>
      <c r="F33"/>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row>
  </sheetData>
  <mergeCells count="18">
    <mergeCell ref="BF4:BL4"/>
    <mergeCell ref="I4:O4"/>
    <mergeCell ref="P4:V4"/>
    <mergeCell ref="W4:AC4"/>
    <mergeCell ref="AD4:AJ4"/>
    <mergeCell ref="AK4:AQ4"/>
    <mergeCell ref="AR4:AX4"/>
    <mergeCell ref="AY4:BE4"/>
    <mergeCell ref="F5:F6"/>
    <mergeCell ref="Q2:Z2"/>
    <mergeCell ref="Q1:Z1"/>
    <mergeCell ref="I1:O1"/>
    <mergeCell ref="I2:O2"/>
    <mergeCell ref="A5:A6"/>
    <mergeCell ref="B5:B6"/>
    <mergeCell ref="C5:C6"/>
    <mergeCell ref="D5:D6"/>
    <mergeCell ref="E5:E6"/>
  </mergeCells>
  <conditionalFormatting sqref="D7:D31">
    <cfRule type="dataBar" priority="27">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31">
    <cfRule type="expression" dxfId="8" priority="5">
      <formula>AND(TODAY()&gt;=I$5, TODAY()&lt;J$5)</formula>
    </cfRule>
  </conditionalFormatting>
  <conditionalFormatting sqref="I9:BL13">
    <cfRule type="expression" dxfId="7" priority="10">
      <formula>AND(task_start&lt;=I$5,ROUNDDOWN((task_end-task_start+1)*task_progress,0)+task_start-1&gt;=I$5)</formula>
    </cfRule>
    <cfRule type="expression" dxfId="6" priority="11" stopIfTrue="1">
      <formula>AND(task_end&gt;=I$5,task_start&lt;J$5)</formula>
    </cfRule>
  </conditionalFormatting>
  <conditionalFormatting sqref="I15:BL19">
    <cfRule type="expression" dxfId="5" priority="8">
      <formula>AND(task_start&lt;=I$5,ROUNDDOWN((task_end-task_start+1)*task_progress,0)+task_start-1&gt;=I$5)</formula>
    </cfRule>
    <cfRule type="expression" dxfId="4" priority="9" stopIfTrue="1">
      <formula>AND(task_end&gt;=I$5,task_start&lt;J$5)</formula>
    </cfRule>
  </conditionalFormatting>
  <conditionalFormatting sqref="I21:BL25">
    <cfRule type="expression" dxfId="3" priority="6">
      <formula>AND(task_start&lt;=I$5,ROUNDDOWN((task_end-task_start+1)*task_progress,0)+task_start-1&gt;=I$5)</formula>
    </cfRule>
    <cfRule type="expression" dxfId="2" priority="7" stopIfTrue="1">
      <formula>AND(task_end&gt;=I$5,task_start&lt;J$5)</formula>
    </cfRule>
  </conditionalFormatting>
  <conditionalFormatting sqref="I27:BL31">
    <cfRule type="expression" dxfId="1" priority="40">
      <formula>AND(task_start&lt;=I$5,ROUNDDOWN((task_end-task_start+1)*task_progress,0)+task_start-1&gt;=I$5)</formula>
    </cfRule>
    <cfRule type="expression" dxfId="0" priority="41" stopIfTrue="1">
      <formula>AND(task_end&gt;=I$5,task_start&lt;J$5)</formula>
    </cfRule>
  </conditionalFormatting>
  <dataValidations count="12">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0" xr:uid="{956902D1-D3B5-416D-BB69-9362D193BC0A}"/>
    <dataValidation allowBlank="1" showInputMessage="1" showErrorMessage="1" prompt="Phase 4's sample block starts in cell B26." sqref="A26" xr:uid="{DE54E5DE-526D-4D71-8D03-E99B4AB2FEE5}"/>
  </dataValidations>
  <hyperlinks>
    <hyperlink ref="B4" r:id="rId1" xr:uid="{00000000-0004-0000-0000-000000000000}"/>
    <hyperlink ref="B3" r:id="rId2" xr:uid="{00000000-0004-0000-0000-000001000000}"/>
  </hyperlinks>
  <printOptions horizontalCentered="1"/>
  <pageMargins left="0.35" right="0.35" top="0.35" bottom="0.5" header="0.3" footer="0.3"/>
  <pageSetup scale="57" fitToHeight="0" orientation="landscape" r:id="rId3"/>
  <headerFooter differentFirst="1" scaleWithDoc="0">
    <oddFooter>Page &amp;P of &amp;N</oddFooter>
  </headerFooter>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4" customWidth="1"/>
    <col min="2" max="16384" width="9" style="1"/>
  </cols>
  <sheetData>
    <row r="1" spans="1:2" ht="46.5" customHeight="1" x14ac:dyDescent="0.15"/>
    <row r="2" spans="1:2" s="6" customFormat="1" ht="16" x14ac:dyDescent="0.15">
      <c r="A2" s="84" t="s">
        <v>6</v>
      </c>
      <c r="B2" s="5"/>
    </row>
    <row r="3" spans="1:2" s="8" customFormat="1" ht="27" customHeight="1" x14ac:dyDescent="0.15">
      <c r="A3" s="85"/>
      <c r="B3" s="9"/>
    </row>
    <row r="4" spans="1:2" s="7" customFormat="1" ht="31" x14ac:dyDescent="0.45">
      <c r="A4" s="86" t="s">
        <v>41</v>
      </c>
    </row>
    <row r="5" spans="1:2" ht="74.25" customHeight="1" x14ac:dyDescent="0.15">
      <c r="A5" s="87" t="s">
        <v>42</v>
      </c>
    </row>
    <row r="6" spans="1:2" ht="26.25" customHeight="1" x14ac:dyDescent="0.15">
      <c r="A6" s="86" t="s">
        <v>43</v>
      </c>
    </row>
    <row r="7" spans="1:2" s="4" customFormat="1" ht="205" customHeight="1" x14ac:dyDescent="0.15">
      <c r="A7" s="88" t="s">
        <v>44</v>
      </c>
    </row>
    <row r="8" spans="1:2" s="7" customFormat="1" ht="31" x14ac:dyDescent="0.45">
      <c r="A8" s="86" t="s">
        <v>45</v>
      </c>
    </row>
    <row r="9" spans="1:2" ht="60" x14ac:dyDescent="0.15">
      <c r="A9" s="87" t="s">
        <v>46</v>
      </c>
    </row>
    <row r="10" spans="1:2" s="4" customFormat="1" ht="28" customHeight="1" x14ac:dyDescent="0.15">
      <c r="A10" s="89" t="s">
        <v>47</v>
      </c>
    </row>
    <row r="11" spans="1:2" s="7" customFormat="1" ht="31" x14ac:dyDescent="0.45">
      <c r="A11" s="86" t="s">
        <v>48</v>
      </c>
    </row>
    <row r="12" spans="1:2" ht="30" x14ac:dyDescent="0.15">
      <c r="A12" s="87" t="s">
        <v>49</v>
      </c>
    </row>
    <row r="13" spans="1:2" s="4" customFormat="1" ht="28" customHeight="1" x14ac:dyDescent="0.15">
      <c r="A13" s="89" t="s">
        <v>50</v>
      </c>
    </row>
    <row r="14" spans="1:2" s="7" customFormat="1" ht="31" x14ac:dyDescent="0.45">
      <c r="A14" s="86" t="s">
        <v>51</v>
      </c>
    </row>
    <row r="15" spans="1:2" ht="75" customHeight="1" x14ac:dyDescent="0.15">
      <c r="A15" s="87" t="s">
        <v>52</v>
      </c>
    </row>
    <row r="16" spans="1:2" ht="75" x14ac:dyDescent="0.15">
      <c r="A16" s="87" t="s">
        <v>53</v>
      </c>
    </row>
    <row r="17" spans="1:1" x14ac:dyDescent="0.15">
      <c r="A17" s="90"/>
    </row>
    <row r="18" spans="1:1" x14ac:dyDescent="0.15">
      <c r="A18" s="90"/>
    </row>
    <row r="19" spans="1:1" x14ac:dyDescent="0.15">
      <c r="A19" s="90"/>
    </row>
    <row r="20" spans="1:1" x14ac:dyDescent="0.15">
      <c r="A20" s="90"/>
    </row>
    <row r="21" spans="1:1" x14ac:dyDescent="0.15">
      <c r="A21" s="90"/>
    </row>
    <row r="22" spans="1:1" x14ac:dyDescent="0.15">
      <c r="A22" s="90"/>
    </row>
    <row r="23" spans="1:1" x14ac:dyDescent="0.15">
      <c r="A23" s="90"/>
    </row>
    <row r="24" spans="1:1" x14ac:dyDescent="0.15">
      <c r="A24" s="9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82239A0-E68C-493F-BEE6-C77FEA397FD6}">
  <ds:schemaRefs>
    <ds:schemaRef ds:uri="http://schemas.microsoft.com/office/2006/metadata/properties"/>
    <ds:schemaRef ds:uri="http://schemas.microsoft.com/sharepoint/v3"/>
    <ds:schemaRef ds:uri="http://schemas.microsoft.com/office/2006/documentManagement/types"/>
    <ds:schemaRef ds:uri="230e9df3-be65-4c73-a93b-d1236ebd677e"/>
    <ds:schemaRef ds:uri="http://purl.org/dc/dcmitype/"/>
    <ds:schemaRef ds:uri="http://schemas.microsoft.com/office/infopath/2007/PartnerControls"/>
    <ds:schemaRef ds:uri="http://schemas.openxmlformats.org/package/2006/metadata/core-properties"/>
    <ds:schemaRef ds:uri="http://purl.org/dc/terms/"/>
    <ds:schemaRef ds:uri="http://purl.org/dc/elements/1.1/"/>
    <ds:schemaRef ds:uri="16c05727-aa75-4e4a-9b5f-8a80a1165891"/>
    <ds:schemaRef ds:uri="71af3243-3dd4-4a8d-8c0d-dd76da1f02a5"/>
    <ds:schemaRef ds:uri="http://www.w3.org/XML/1998/namespace"/>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Tyler Thiede</dc:creator>
  <cp:keywords/>
  <dc:description/>
  <cp:lastModifiedBy>Tyler Thiede</cp:lastModifiedBy>
  <cp:revision/>
  <dcterms:created xsi:type="dcterms:W3CDTF">2022-03-11T22:41:12Z</dcterms:created>
  <dcterms:modified xsi:type="dcterms:W3CDTF">2026-04-20T19:51:57Z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